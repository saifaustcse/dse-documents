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0736" windowHeight="9516" tabRatio="279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Sheet1!$6:$6</definedName>
  </definedNames>
  <calcPr calcId="124519"/>
</workbook>
</file>

<file path=xl/calcChain.xml><?xml version="1.0" encoding="utf-8"?>
<calcChain xmlns="http://schemas.openxmlformats.org/spreadsheetml/2006/main">
  <c r="G5" i="2"/>
  <c r="F15"/>
  <c r="F14"/>
  <c r="H3" l="1"/>
  <c r="H4"/>
  <c r="F5"/>
  <c r="H2"/>
  <c r="H5" l="1"/>
  <c r="H6" s="1"/>
  <c r="L116" i="1" l="1"/>
  <c r="K116"/>
  <c r="K115"/>
  <c r="L115" s="1"/>
  <c r="K114"/>
  <c r="L114" s="1"/>
  <c r="K113"/>
  <c r="L113" s="1"/>
  <c r="K112"/>
  <c r="L112" s="1"/>
  <c r="K111"/>
  <c r="L111" s="1"/>
  <c r="K110"/>
  <c r="L110" s="1"/>
  <c r="K109"/>
  <c r="L109" s="1"/>
  <c r="K108"/>
  <c r="L108" s="1"/>
  <c r="K107"/>
  <c r="L107" s="1"/>
  <c r="K106"/>
  <c r="L106" s="1"/>
  <c r="K105"/>
  <c r="L105" s="1"/>
  <c r="K104"/>
  <c r="L104" s="1"/>
  <c r="K103"/>
  <c r="L103" s="1"/>
  <c r="K102"/>
  <c r="L102" s="1"/>
  <c r="K101"/>
  <c r="L101" s="1"/>
  <c r="K100"/>
  <c r="L100" s="1"/>
  <c r="K99"/>
  <c r="L99" s="1"/>
  <c r="K98"/>
  <c r="L98" s="1"/>
  <c r="K97"/>
  <c r="L97" s="1"/>
  <c r="K96"/>
  <c r="L96" s="1"/>
  <c r="K95"/>
  <c r="L95" s="1"/>
  <c r="K94"/>
  <c r="L94" s="1"/>
  <c r="K93"/>
  <c r="L93" s="1"/>
  <c r="K92"/>
  <c r="L92" s="1"/>
  <c r="K91"/>
  <c r="L91" s="1"/>
  <c r="K90"/>
  <c r="L90" s="1"/>
  <c r="K89"/>
  <c r="L89" s="1"/>
  <c r="K88"/>
  <c r="L88" s="1"/>
  <c r="K87"/>
  <c r="L87" s="1"/>
  <c r="K86"/>
  <c r="L86" s="1"/>
  <c r="K7" l="1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L35" s="1"/>
  <c r="K36"/>
  <c r="L36" s="1"/>
  <c r="K37"/>
  <c r="K38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7"/>
  <c r="L84"/>
  <c r="K84"/>
  <c r="K83"/>
  <c r="L83" s="1"/>
  <c r="L82"/>
  <c r="K82"/>
  <c r="K81"/>
  <c r="L81" s="1"/>
  <c r="L80"/>
  <c r="K80"/>
  <c r="K79"/>
  <c r="L79" s="1"/>
  <c r="L78"/>
  <c r="K78"/>
  <c r="K77"/>
  <c r="L77" s="1"/>
  <c r="L76"/>
  <c r="K76"/>
  <c r="K75"/>
  <c r="L75" s="1"/>
  <c r="L74"/>
  <c r="K74"/>
  <c r="K73"/>
  <c r="L73" s="1"/>
  <c r="L72"/>
  <c r="K72"/>
  <c r="K71"/>
  <c r="L71" s="1"/>
  <c r="L70"/>
  <c r="K70"/>
  <c r="K69"/>
  <c r="L69" s="1"/>
  <c r="L68"/>
  <c r="K68"/>
  <c r="K67"/>
  <c r="L67" s="1"/>
  <c r="L66"/>
  <c r="K66"/>
  <c r="K65"/>
  <c r="L65" s="1"/>
  <c r="L64"/>
  <c r="K64"/>
  <c r="K63"/>
  <c r="L63" s="1"/>
  <c r="L62"/>
  <c r="K62"/>
  <c r="K61"/>
  <c r="L61" s="1"/>
  <c r="L60"/>
  <c r="K60"/>
  <c r="K59"/>
  <c r="L59" s="1"/>
  <c r="L58"/>
  <c r="K58"/>
  <c r="K57"/>
  <c r="L57" s="1"/>
  <c r="L56"/>
  <c r="K56"/>
  <c r="K55"/>
  <c r="L55" s="1"/>
  <c r="L54"/>
  <c r="K54"/>
  <c r="K53"/>
  <c r="L53" s="1"/>
  <c r="L52"/>
  <c r="K52"/>
  <c r="K51"/>
  <c r="L51" s="1"/>
  <c r="L50"/>
  <c r="K50"/>
  <c r="K49"/>
  <c r="L49" s="1"/>
  <c r="L48"/>
  <c r="K48"/>
  <c r="K47"/>
  <c r="L47" s="1"/>
  <c r="L46"/>
  <c r="K46"/>
  <c r="K45"/>
  <c r="L45" s="1"/>
  <c r="L44"/>
  <c r="K44"/>
  <c r="K43"/>
  <c r="L43" s="1"/>
  <c r="L42"/>
  <c r="K42"/>
  <c r="K41"/>
  <c r="L41" s="1"/>
  <c r="L40"/>
  <c r="K40"/>
  <c r="K39"/>
  <c r="L39" s="1"/>
</calcChain>
</file>

<file path=xl/sharedStrings.xml><?xml version="1.0" encoding="utf-8"?>
<sst xmlns="http://schemas.openxmlformats.org/spreadsheetml/2006/main" count="800" uniqueCount="132">
  <si>
    <t>Count</t>
  </si>
  <si>
    <t>times</t>
  </si>
  <si>
    <t>Month days</t>
  </si>
  <si>
    <t>Week / month</t>
  </si>
  <si>
    <t>Month / year</t>
  </si>
  <si>
    <t>#</t>
  </si>
  <si>
    <t>Dept.</t>
  </si>
  <si>
    <t>Team</t>
  </si>
  <si>
    <t>Name</t>
  </si>
  <si>
    <t>Designation</t>
  </si>
  <si>
    <t>Regular task</t>
  </si>
  <si>
    <t>Task Type</t>
  </si>
  <si>
    <t>Frequency</t>
  </si>
  <si>
    <t>Times</t>
  </si>
  <si>
    <t>Time per instance</t>
  </si>
  <si>
    <t>Yearly required time</t>
  </si>
  <si>
    <t>Notes</t>
  </si>
  <si>
    <t>Operational</t>
  </si>
  <si>
    <t>Support</t>
  </si>
  <si>
    <t>Manager</t>
  </si>
  <si>
    <t>Sr. Executive</t>
  </si>
  <si>
    <t>daily</t>
  </si>
  <si>
    <t>weekly</t>
  </si>
  <si>
    <t>Administrative</t>
  </si>
  <si>
    <t>Ensure smooth operation, support and system administration of CNS</t>
  </si>
  <si>
    <t>Ensure smooth daily CDBL operation</t>
  </si>
  <si>
    <t>ESS Operation</t>
  </si>
  <si>
    <t>Ensure smooth operation, support and system administration of ESS</t>
  </si>
  <si>
    <t>Preparing and Dissemination of Trade data reports</t>
  </si>
  <si>
    <t>Preparing and Dissemination of Instrument performance report</t>
  </si>
  <si>
    <t>Preparing and Dissemination of Non-traded instrument report</t>
  </si>
  <si>
    <t>Preparing and Dissemination of TREC Holder Performance report</t>
  </si>
  <si>
    <t>Preparing and Dissemination of Instrument RISE/DECLINE report</t>
  </si>
  <si>
    <t xml:space="preserve">Preparing and Dissemination of Pakkhik Instrument data </t>
  </si>
  <si>
    <t>Preparing and Dissemination of Foreign trade report</t>
  </si>
  <si>
    <t>Preparing and Dissemination of Index rebalancing report</t>
  </si>
  <si>
    <t>Preparing and Dissemination of Market wise turnover report</t>
  </si>
  <si>
    <t>Preparing and Dissemination of IPF report</t>
  </si>
  <si>
    <t>Preparing and Dissemination of TREC Holder renewal report</t>
  </si>
  <si>
    <t>Preparing and Dissemination of ESS allotment data  for issuer</t>
  </si>
  <si>
    <t>Preparing and Dissemination of ESS Non-finalized bank information report</t>
  </si>
  <si>
    <t>Preparing and Dissemination of Other on-demand customized reports</t>
  </si>
  <si>
    <t>Supervise the overall reporting tasks and ensure standard policy</t>
  </si>
  <si>
    <t>Software Development</t>
  </si>
  <si>
    <t>Software Requirement Analysis</t>
  </si>
  <si>
    <t>Development</t>
  </si>
  <si>
    <t>Preparing BRS</t>
  </si>
  <si>
    <t>Preparing SRS</t>
  </si>
  <si>
    <t>System Design</t>
  </si>
  <si>
    <t>Software Coding and testing</t>
  </si>
  <si>
    <t>Prepare environment for UAT and Mock</t>
  </si>
  <si>
    <t>Perform UAT and bug fixing</t>
  </si>
  <si>
    <t>Perform MOCK</t>
  </si>
  <si>
    <t>Data migration, system configuration and final deployment</t>
  </si>
  <si>
    <t>Documentation</t>
  </si>
  <si>
    <t>Preparing Software User Manual</t>
  </si>
  <si>
    <t>Review and update SOP and other documents as per ISO standard</t>
  </si>
  <si>
    <t>Office file management</t>
  </si>
  <si>
    <t>User Training</t>
  </si>
  <si>
    <t>Conduct CNS trainig</t>
  </si>
  <si>
    <t>Conduct ESS training</t>
  </si>
  <si>
    <t>Others</t>
  </si>
  <si>
    <t>Preparing departmental budget</t>
  </si>
  <si>
    <t>Participate in departmental meeting</t>
  </si>
  <si>
    <t>Participate in external meeting</t>
  </si>
  <si>
    <t>RND on new technologies and knowledge sharing</t>
  </si>
  <si>
    <t>Education</t>
  </si>
  <si>
    <t>Co-ordination with supervisor, management and other related stakeholders</t>
  </si>
  <si>
    <t>Maintain and manage correspondance with local and foreign vendor</t>
  </si>
  <si>
    <t>monthly</t>
  </si>
  <si>
    <t>yearly</t>
  </si>
  <si>
    <t>CNS Operation</t>
  </si>
  <si>
    <t xml:space="preserve">Monitor CNS web server log </t>
  </si>
  <si>
    <t>Perform CNS database administration</t>
  </si>
  <si>
    <t>Supervise and verify daily CNS checklists</t>
  </si>
  <si>
    <t>Provide end user support for CNS</t>
  </si>
  <si>
    <t>Supervise and verify CDBL daily checklists</t>
  </si>
  <si>
    <t>Monitor ESS web server log</t>
  </si>
  <si>
    <t>Perform ESS database administration</t>
  </si>
  <si>
    <t>End user support for ESS</t>
  </si>
  <si>
    <t>Administrative user management for ESS</t>
  </si>
  <si>
    <t>MIS</t>
  </si>
  <si>
    <t>Md. Abdul Kader Khondoker</t>
  </si>
  <si>
    <t>CDBL Operation</t>
  </si>
  <si>
    <t>MIS Reporting</t>
  </si>
  <si>
    <t>Check CNS server connectivity</t>
  </si>
  <si>
    <t>Check CNS web servers</t>
  </si>
  <si>
    <t>Check database connectivity of CNS</t>
  </si>
  <si>
    <t>Prepare CNS Server and Database checklist</t>
  </si>
  <si>
    <t>Declare corporate action and update checklist</t>
  </si>
  <si>
    <t>Perform Post trade data processing and cross-checking</t>
  </si>
  <si>
    <t>Prepare ACS daily checklist</t>
  </si>
  <si>
    <t>Provide CNS password reset service for TREC Holders</t>
  </si>
  <si>
    <t>CNS Holiday management</t>
  </si>
  <si>
    <t xml:space="preserve">Check connectivity of CDBL VeDAS  system </t>
  </si>
  <si>
    <t>Upload pay-out file and progress monitoring</t>
  </si>
  <si>
    <t xml:space="preserve">Perform data process to generate trade,market and next day pay-out file </t>
  </si>
  <si>
    <t>Generate  Reports and cross-check with CNS</t>
  </si>
  <si>
    <t>Upload market and trade file and progress monitoring</t>
  </si>
  <si>
    <t>Foreign client, instrument and TREC Holder management in DSE-CDBL interface</t>
  </si>
  <si>
    <t>Holiday management in DSE-CDBL interface</t>
  </si>
  <si>
    <t>Perform settlement shifting and prepare report for CDBL for unexpected holidays</t>
  </si>
  <si>
    <t>Auction management for Share shortage</t>
  </si>
  <si>
    <t>Management of fund shortage</t>
  </si>
  <si>
    <t>Prepare daily CDBL checklist</t>
  </si>
  <si>
    <t>VeDAS  software troubleshooting  in co-ordination  with CDBL</t>
  </si>
  <si>
    <t>A.F.M Golam Kibria</t>
  </si>
  <si>
    <t>Check CNS logical database backup status and daily merge status</t>
  </si>
  <si>
    <t>Check CNS weekly data merge status</t>
  </si>
  <si>
    <t>Monitor bandwidth and traffic status for ESS</t>
  </si>
  <si>
    <t>Check ESS logical database backup status</t>
  </si>
  <si>
    <t>Prepare ESS Server and Database checklist</t>
  </si>
  <si>
    <t>Rajib Sarker</t>
  </si>
  <si>
    <t>Executive</t>
  </si>
  <si>
    <t>Total 
hour</t>
  </si>
  <si>
    <t>Check ESS server, database and connectivity status</t>
  </si>
  <si>
    <t xml:space="preserve">Name </t>
  </si>
  <si>
    <t>Yearly work-hour</t>
  </si>
  <si>
    <t>Working hour</t>
  </si>
  <si>
    <t>Gap</t>
  </si>
  <si>
    <t>Grand Total</t>
  </si>
  <si>
    <t>Equivalent additional Manpower required</t>
  </si>
  <si>
    <t>Yearly Work Hour</t>
  </si>
  <si>
    <t>Working days</t>
  </si>
  <si>
    <t>day</t>
  </si>
  <si>
    <t>Mandatory and Earn Leave</t>
  </si>
  <si>
    <t>working day</t>
  </si>
  <si>
    <t>Average Casual Leave</t>
  </si>
  <si>
    <t>Average Sick Leave</t>
  </si>
  <si>
    <t>Per employee working day</t>
  </si>
  <si>
    <t>Per employee working hour</t>
  </si>
  <si>
    <t>7 hour per day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</si>
</sst>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4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5" borderId="3" xfId="0" applyFont="1" applyFill="1" applyBorder="1" applyAlignment="1">
      <alignment vertical="center"/>
    </xf>
    <xf numFmtId="0" fontId="3" fillId="5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vertical="center"/>
    </xf>
    <xf numFmtId="0" fontId="4" fillId="6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7" borderId="5" xfId="0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6"/>
  <sheetViews>
    <sheetView tabSelected="1" topLeftCell="A2" zoomScale="85" zoomScaleNormal="85" workbookViewId="0">
      <selection activeCell="L117" sqref="L117"/>
    </sheetView>
  </sheetViews>
  <sheetFormatPr defaultColWidth="9.109375" defaultRowHeight="14.4"/>
  <cols>
    <col min="1" max="1" width="3.109375" style="1" bestFit="1" customWidth="1"/>
    <col min="2" max="3" width="5.88671875" style="1" bestFit="1" customWidth="1"/>
    <col min="4" max="4" width="26.44140625" style="1" bestFit="1" customWidth="1"/>
    <col min="5" max="5" width="12.33203125" style="1" bestFit="1" customWidth="1"/>
    <col min="6" max="6" width="71.109375" style="1" bestFit="1" customWidth="1"/>
    <col min="7" max="7" width="14.33203125" style="1" bestFit="1" customWidth="1"/>
    <col min="8" max="8" width="10.21875" style="1" bestFit="1" customWidth="1"/>
    <col min="9" max="9" width="6" style="2" bestFit="1" customWidth="1"/>
    <col min="10" max="10" width="8.88671875" style="2" bestFit="1" customWidth="1"/>
    <col min="11" max="11" width="13.88671875" style="2" bestFit="1" customWidth="1"/>
    <col min="12" max="12" width="13.44140625" style="2" bestFit="1" customWidth="1"/>
    <col min="13" max="13" width="22" style="1" bestFit="1" customWidth="1"/>
    <col min="14" max="16384" width="9.109375" style="1"/>
  </cols>
  <sheetData>
    <row r="1" spans="1:13">
      <c r="K1" s="3" t="s">
        <v>0</v>
      </c>
      <c r="L1" s="3" t="s">
        <v>1</v>
      </c>
    </row>
    <row r="2" spans="1:13">
      <c r="K2" s="2" t="s">
        <v>2</v>
      </c>
      <c r="L2" s="2">
        <v>22</v>
      </c>
    </row>
    <row r="3" spans="1:13">
      <c r="K3" s="2" t="s">
        <v>3</v>
      </c>
      <c r="L3" s="2">
        <v>4</v>
      </c>
    </row>
    <row r="4" spans="1:13">
      <c r="K4" s="2" t="s">
        <v>4</v>
      </c>
      <c r="L4" s="2">
        <v>12</v>
      </c>
    </row>
    <row r="6" spans="1:13" ht="28.8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114</v>
      </c>
      <c r="L6" s="4" t="s">
        <v>15</v>
      </c>
      <c r="M6" s="5" t="s">
        <v>16</v>
      </c>
    </row>
    <row r="7" spans="1:13" s="7" customFormat="1">
      <c r="A7" s="8">
        <v>1</v>
      </c>
      <c r="B7" s="7" t="s">
        <v>81</v>
      </c>
      <c r="D7" s="7" t="s">
        <v>82</v>
      </c>
      <c r="E7" s="7" t="s">
        <v>19</v>
      </c>
      <c r="F7" s="6" t="s">
        <v>72</v>
      </c>
      <c r="G7" s="6" t="s">
        <v>17</v>
      </c>
      <c r="H7" s="6" t="s">
        <v>21</v>
      </c>
      <c r="I7" s="6">
        <v>1</v>
      </c>
      <c r="J7" s="6">
        <v>0.5</v>
      </c>
      <c r="K7" s="6">
        <f t="shared" ref="K7:K38" si="0">I7*J7</f>
        <v>0.5</v>
      </c>
      <c r="L7" s="6">
        <f t="shared" ref="L7:L34" si="1">IF(H7="monthly",K7*12,(IF(H7="daily",K7*22*12,IF(H7="weekly",K7*4*12,K7))))</f>
        <v>132</v>
      </c>
      <c r="M7" s="7" t="s">
        <v>71</v>
      </c>
    </row>
    <row r="8" spans="1:13" s="7" customFormat="1">
      <c r="A8" s="8">
        <v>2</v>
      </c>
      <c r="B8" s="7" t="s">
        <v>81</v>
      </c>
      <c r="D8" s="7" t="s">
        <v>82</v>
      </c>
      <c r="E8" s="7" t="s">
        <v>19</v>
      </c>
      <c r="F8" s="6" t="s">
        <v>73</v>
      </c>
      <c r="G8" s="6" t="s">
        <v>17</v>
      </c>
      <c r="H8" s="6" t="s">
        <v>22</v>
      </c>
      <c r="I8" s="6">
        <v>1</v>
      </c>
      <c r="J8" s="6">
        <v>0.5</v>
      </c>
      <c r="K8" s="6">
        <f t="shared" si="0"/>
        <v>0.5</v>
      </c>
      <c r="L8" s="6">
        <f t="shared" si="1"/>
        <v>24</v>
      </c>
      <c r="M8" s="7" t="s">
        <v>71</v>
      </c>
    </row>
    <row r="9" spans="1:13" s="7" customFormat="1">
      <c r="A9" s="8">
        <v>3</v>
      </c>
      <c r="B9" s="7" t="s">
        <v>81</v>
      </c>
      <c r="D9" s="7" t="s">
        <v>82</v>
      </c>
      <c r="E9" s="7" t="s">
        <v>19</v>
      </c>
      <c r="F9" s="6" t="s">
        <v>74</v>
      </c>
      <c r="G9" s="6" t="s">
        <v>23</v>
      </c>
      <c r="H9" s="6" t="s">
        <v>21</v>
      </c>
      <c r="I9" s="6">
        <v>1</v>
      </c>
      <c r="J9" s="6">
        <v>0.25</v>
      </c>
      <c r="K9" s="6">
        <f t="shared" si="0"/>
        <v>0.25</v>
      </c>
      <c r="L9" s="6">
        <f t="shared" si="1"/>
        <v>66</v>
      </c>
      <c r="M9" s="7" t="s">
        <v>71</v>
      </c>
    </row>
    <row r="10" spans="1:13" s="7" customFormat="1">
      <c r="A10" s="8">
        <v>4</v>
      </c>
      <c r="B10" s="7" t="s">
        <v>81</v>
      </c>
      <c r="D10" s="7" t="s">
        <v>82</v>
      </c>
      <c r="E10" s="7" t="s">
        <v>19</v>
      </c>
      <c r="F10" s="6" t="s">
        <v>75</v>
      </c>
      <c r="G10" s="6" t="s">
        <v>18</v>
      </c>
      <c r="H10" s="6" t="s">
        <v>21</v>
      </c>
      <c r="I10" s="6">
        <v>3</v>
      </c>
      <c r="J10" s="6">
        <v>0.1</v>
      </c>
      <c r="K10" s="6">
        <f t="shared" si="0"/>
        <v>0.30000000000000004</v>
      </c>
      <c r="L10" s="6">
        <f t="shared" si="1"/>
        <v>79.200000000000017</v>
      </c>
      <c r="M10" s="7" t="s">
        <v>71</v>
      </c>
    </row>
    <row r="11" spans="1:13" s="7" customFormat="1">
      <c r="A11" s="8">
        <v>5</v>
      </c>
      <c r="B11" s="7" t="s">
        <v>81</v>
      </c>
      <c r="D11" s="7" t="s">
        <v>82</v>
      </c>
      <c r="E11" s="7" t="s">
        <v>19</v>
      </c>
      <c r="F11" s="6" t="s">
        <v>24</v>
      </c>
      <c r="G11" s="6" t="s">
        <v>23</v>
      </c>
      <c r="H11" s="6" t="s">
        <v>21</v>
      </c>
      <c r="I11" s="6">
        <v>1</v>
      </c>
      <c r="J11" s="6">
        <v>1</v>
      </c>
      <c r="K11" s="6">
        <f t="shared" si="0"/>
        <v>1</v>
      </c>
      <c r="L11" s="6">
        <f t="shared" si="1"/>
        <v>264</v>
      </c>
      <c r="M11" s="7" t="s">
        <v>71</v>
      </c>
    </row>
    <row r="12" spans="1:13" s="7" customFormat="1">
      <c r="A12" s="8">
        <v>6</v>
      </c>
      <c r="B12" s="7" t="s">
        <v>81</v>
      </c>
      <c r="D12" s="7" t="s">
        <v>82</v>
      </c>
      <c r="E12" s="7" t="s">
        <v>19</v>
      </c>
      <c r="F12" s="6" t="s">
        <v>76</v>
      </c>
      <c r="G12" s="6" t="s">
        <v>23</v>
      </c>
      <c r="H12" s="6" t="s">
        <v>21</v>
      </c>
      <c r="I12" s="6">
        <v>1</v>
      </c>
      <c r="J12" s="6">
        <v>0.2</v>
      </c>
      <c r="K12" s="6">
        <f t="shared" si="0"/>
        <v>0.2</v>
      </c>
      <c r="L12" s="6">
        <f t="shared" si="1"/>
        <v>52.800000000000004</v>
      </c>
      <c r="M12" s="7" t="s">
        <v>83</v>
      </c>
    </row>
    <row r="13" spans="1:13" s="7" customFormat="1">
      <c r="A13" s="8">
        <v>7</v>
      </c>
      <c r="B13" s="7" t="s">
        <v>81</v>
      </c>
      <c r="D13" s="7" t="s">
        <v>82</v>
      </c>
      <c r="E13" s="7" t="s">
        <v>19</v>
      </c>
      <c r="F13" s="6" t="s">
        <v>25</v>
      </c>
      <c r="G13" s="6" t="s">
        <v>23</v>
      </c>
      <c r="H13" s="6" t="s">
        <v>21</v>
      </c>
      <c r="I13" s="6">
        <v>1</v>
      </c>
      <c r="J13" s="6">
        <v>0.5</v>
      </c>
      <c r="K13" s="6">
        <f t="shared" si="0"/>
        <v>0.5</v>
      </c>
      <c r="L13" s="6">
        <f t="shared" si="1"/>
        <v>132</v>
      </c>
      <c r="M13" s="7" t="s">
        <v>83</v>
      </c>
    </row>
    <row r="14" spans="1:13" s="7" customFormat="1">
      <c r="A14" s="8">
        <v>8</v>
      </c>
      <c r="B14" s="7" t="s">
        <v>81</v>
      </c>
      <c r="D14" s="7" t="s">
        <v>82</v>
      </c>
      <c r="E14" s="7" t="s">
        <v>19</v>
      </c>
      <c r="F14" s="6" t="s">
        <v>77</v>
      </c>
      <c r="G14" s="6" t="s">
        <v>17</v>
      </c>
      <c r="H14" s="6" t="s">
        <v>69</v>
      </c>
      <c r="I14" s="6">
        <v>2</v>
      </c>
      <c r="J14" s="6">
        <v>1</v>
      </c>
      <c r="K14" s="6">
        <f t="shared" si="0"/>
        <v>2</v>
      </c>
      <c r="L14" s="6">
        <f t="shared" si="1"/>
        <v>24</v>
      </c>
      <c r="M14" s="7" t="s">
        <v>26</v>
      </c>
    </row>
    <row r="15" spans="1:13" s="7" customFormat="1">
      <c r="A15" s="8">
        <v>9</v>
      </c>
      <c r="B15" s="7" t="s">
        <v>81</v>
      </c>
      <c r="D15" s="7" t="s">
        <v>82</v>
      </c>
      <c r="E15" s="7" t="s">
        <v>19</v>
      </c>
      <c r="F15" s="6" t="s">
        <v>78</v>
      </c>
      <c r="G15" s="6" t="s">
        <v>17</v>
      </c>
      <c r="H15" s="6" t="s">
        <v>22</v>
      </c>
      <c r="I15" s="6">
        <v>1</v>
      </c>
      <c r="J15" s="6">
        <v>1</v>
      </c>
      <c r="K15" s="6">
        <f t="shared" si="0"/>
        <v>1</v>
      </c>
      <c r="L15" s="6">
        <f t="shared" si="1"/>
        <v>48</v>
      </c>
      <c r="M15" s="7" t="s">
        <v>26</v>
      </c>
    </row>
    <row r="16" spans="1:13" s="7" customFormat="1">
      <c r="A16" s="8">
        <v>10</v>
      </c>
      <c r="B16" s="7" t="s">
        <v>81</v>
      </c>
      <c r="D16" s="7" t="s">
        <v>82</v>
      </c>
      <c r="E16" s="7" t="s">
        <v>19</v>
      </c>
      <c r="F16" s="6" t="s">
        <v>79</v>
      </c>
      <c r="G16" s="6" t="s">
        <v>18</v>
      </c>
      <c r="H16" s="6" t="s">
        <v>21</v>
      </c>
      <c r="I16" s="6">
        <v>3</v>
      </c>
      <c r="J16" s="6">
        <v>0.1</v>
      </c>
      <c r="K16" s="6">
        <f t="shared" si="0"/>
        <v>0.30000000000000004</v>
      </c>
      <c r="L16" s="6">
        <f t="shared" si="1"/>
        <v>79.200000000000017</v>
      </c>
      <c r="M16" s="7" t="s">
        <v>26</v>
      </c>
    </row>
    <row r="17" spans="1:13" s="7" customFormat="1">
      <c r="A17" s="8">
        <v>11</v>
      </c>
      <c r="B17" s="7" t="s">
        <v>81</v>
      </c>
      <c r="D17" s="7" t="s">
        <v>82</v>
      </c>
      <c r="E17" s="7" t="s">
        <v>19</v>
      </c>
      <c r="F17" s="6" t="s">
        <v>80</v>
      </c>
      <c r="G17" s="6" t="s">
        <v>23</v>
      </c>
      <c r="H17" s="6" t="s">
        <v>69</v>
      </c>
      <c r="I17" s="6">
        <v>6</v>
      </c>
      <c r="J17" s="6">
        <v>0.25</v>
      </c>
      <c r="K17" s="6">
        <f t="shared" si="0"/>
        <v>1.5</v>
      </c>
      <c r="L17" s="6">
        <f t="shared" si="1"/>
        <v>18</v>
      </c>
      <c r="M17" s="7" t="s">
        <v>26</v>
      </c>
    </row>
    <row r="18" spans="1:13" s="7" customFormat="1">
      <c r="A18" s="8">
        <v>12</v>
      </c>
      <c r="B18" s="7" t="s">
        <v>81</v>
      </c>
      <c r="D18" s="7" t="s">
        <v>82</v>
      </c>
      <c r="E18" s="7" t="s">
        <v>19</v>
      </c>
      <c r="F18" s="6" t="s">
        <v>27</v>
      </c>
      <c r="G18" s="6" t="s">
        <v>23</v>
      </c>
      <c r="H18" s="6" t="s">
        <v>69</v>
      </c>
      <c r="I18" s="6">
        <v>2</v>
      </c>
      <c r="J18" s="6">
        <v>2</v>
      </c>
      <c r="K18" s="6">
        <f t="shared" si="0"/>
        <v>4</v>
      </c>
      <c r="L18" s="6">
        <f t="shared" si="1"/>
        <v>48</v>
      </c>
      <c r="M18" s="7" t="s">
        <v>26</v>
      </c>
    </row>
    <row r="19" spans="1:13" s="7" customFormat="1">
      <c r="A19" s="8">
        <v>13</v>
      </c>
      <c r="B19" s="7" t="s">
        <v>81</v>
      </c>
      <c r="D19" s="7" t="s">
        <v>82</v>
      </c>
      <c r="E19" s="7" t="s">
        <v>19</v>
      </c>
      <c r="F19" s="6" t="s">
        <v>38</v>
      </c>
      <c r="G19" s="6" t="s">
        <v>17</v>
      </c>
      <c r="H19" s="6" t="s">
        <v>70</v>
      </c>
      <c r="I19" s="6">
        <v>2</v>
      </c>
      <c r="J19" s="6">
        <v>0.5</v>
      </c>
      <c r="K19" s="6">
        <f t="shared" si="0"/>
        <v>1</v>
      </c>
      <c r="L19" s="6">
        <f t="shared" si="1"/>
        <v>1</v>
      </c>
      <c r="M19" s="7" t="s">
        <v>84</v>
      </c>
    </row>
    <row r="20" spans="1:13" s="7" customFormat="1">
      <c r="A20" s="8">
        <v>14</v>
      </c>
      <c r="B20" s="7" t="s">
        <v>81</v>
      </c>
      <c r="D20" s="7" t="s">
        <v>82</v>
      </c>
      <c r="E20" s="7" t="s">
        <v>19</v>
      </c>
      <c r="F20" s="6" t="s">
        <v>41</v>
      </c>
      <c r="G20" s="6" t="s">
        <v>17</v>
      </c>
      <c r="H20" s="6" t="s">
        <v>69</v>
      </c>
      <c r="I20" s="6">
        <v>3</v>
      </c>
      <c r="J20" s="6">
        <v>1</v>
      </c>
      <c r="K20" s="6">
        <f t="shared" si="0"/>
        <v>3</v>
      </c>
      <c r="L20" s="6">
        <f t="shared" si="1"/>
        <v>36</v>
      </c>
      <c r="M20" s="7" t="s">
        <v>84</v>
      </c>
    </row>
    <row r="21" spans="1:13" s="7" customFormat="1">
      <c r="A21" s="8">
        <v>15</v>
      </c>
      <c r="B21" s="7" t="s">
        <v>81</v>
      </c>
      <c r="D21" s="7" t="s">
        <v>82</v>
      </c>
      <c r="E21" s="7" t="s">
        <v>19</v>
      </c>
      <c r="F21" s="6" t="s">
        <v>42</v>
      </c>
      <c r="G21" s="6" t="s">
        <v>23</v>
      </c>
      <c r="H21" s="6" t="s">
        <v>21</v>
      </c>
      <c r="I21" s="6">
        <v>1</v>
      </c>
      <c r="J21" s="6">
        <v>0.5</v>
      </c>
      <c r="K21" s="6">
        <f t="shared" si="0"/>
        <v>0.5</v>
      </c>
      <c r="L21" s="6">
        <f t="shared" si="1"/>
        <v>132</v>
      </c>
      <c r="M21" s="7" t="s">
        <v>84</v>
      </c>
    </row>
    <row r="22" spans="1:13" s="7" customFormat="1">
      <c r="A22" s="8">
        <v>16</v>
      </c>
      <c r="B22" s="7" t="s">
        <v>81</v>
      </c>
      <c r="D22" s="7" t="s">
        <v>82</v>
      </c>
      <c r="E22" s="7" t="s">
        <v>19</v>
      </c>
      <c r="F22" s="6" t="s">
        <v>44</v>
      </c>
      <c r="G22" s="6" t="s">
        <v>45</v>
      </c>
      <c r="H22" s="6" t="s">
        <v>70</v>
      </c>
      <c r="I22" s="6">
        <v>2</v>
      </c>
      <c r="J22" s="6">
        <v>70</v>
      </c>
      <c r="K22" s="6">
        <f t="shared" si="0"/>
        <v>140</v>
      </c>
      <c r="L22" s="6">
        <f t="shared" si="1"/>
        <v>140</v>
      </c>
      <c r="M22" s="7" t="s">
        <v>43</v>
      </c>
    </row>
    <row r="23" spans="1:13" s="7" customFormat="1">
      <c r="A23" s="8">
        <v>17</v>
      </c>
      <c r="B23" s="7" t="s">
        <v>81</v>
      </c>
      <c r="D23" s="7" t="s">
        <v>82</v>
      </c>
      <c r="E23" s="7" t="s">
        <v>19</v>
      </c>
      <c r="F23" s="6" t="s">
        <v>46</v>
      </c>
      <c r="G23" s="6" t="s">
        <v>45</v>
      </c>
      <c r="H23" s="6" t="s">
        <v>70</v>
      </c>
      <c r="I23" s="6">
        <v>2</v>
      </c>
      <c r="J23" s="6">
        <v>30</v>
      </c>
      <c r="K23" s="6">
        <f t="shared" si="0"/>
        <v>60</v>
      </c>
      <c r="L23" s="6">
        <f t="shared" si="1"/>
        <v>60</v>
      </c>
      <c r="M23" s="7" t="s">
        <v>43</v>
      </c>
    </row>
    <row r="24" spans="1:13" s="7" customFormat="1">
      <c r="A24" s="8">
        <v>18</v>
      </c>
      <c r="B24" s="7" t="s">
        <v>81</v>
      </c>
      <c r="D24" s="7" t="s">
        <v>82</v>
      </c>
      <c r="E24" s="7" t="s">
        <v>19</v>
      </c>
      <c r="F24" s="6" t="s">
        <v>48</v>
      </c>
      <c r="G24" s="6" t="s">
        <v>45</v>
      </c>
      <c r="H24" s="6" t="s">
        <v>70</v>
      </c>
      <c r="I24" s="6">
        <v>2</v>
      </c>
      <c r="J24" s="6">
        <v>20</v>
      </c>
      <c r="K24" s="6">
        <f t="shared" si="0"/>
        <v>40</v>
      </c>
      <c r="L24" s="6">
        <f t="shared" si="1"/>
        <v>40</v>
      </c>
      <c r="M24" s="7" t="s">
        <v>43</v>
      </c>
    </row>
    <row r="25" spans="1:13" s="7" customFormat="1">
      <c r="A25" s="8">
        <v>19</v>
      </c>
      <c r="B25" s="7" t="s">
        <v>81</v>
      </c>
      <c r="D25" s="7" t="s">
        <v>82</v>
      </c>
      <c r="E25" s="7" t="s">
        <v>19</v>
      </c>
      <c r="F25" s="6" t="s">
        <v>49</v>
      </c>
      <c r="G25" s="6" t="s">
        <v>45</v>
      </c>
      <c r="H25" s="6" t="s">
        <v>22</v>
      </c>
      <c r="I25" s="6">
        <v>3</v>
      </c>
      <c r="J25" s="6">
        <v>1</v>
      </c>
      <c r="K25" s="6">
        <f t="shared" si="0"/>
        <v>3</v>
      </c>
      <c r="L25" s="6">
        <f t="shared" si="1"/>
        <v>144</v>
      </c>
      <c r="M25" s="7" t="s">
        <v>43</v>
      </c>
    </row>
    <row r="26" spans="1:13" s="7" customFormat="1">
      <c r="A26" s="8">
        <v>20</v>
      </c>
      <c r="B26" s="7" t="s">
        <v>81</v>
      </c>
      <c r="D26" s="7" t="s">
        <v>82</v>
      </c>
      <c r="E26" s="7" t="s">
        <v>19</v>
      </c>
      <c r="F26" s="6" t="s">
        <v>50</v>
      </c>
      <c r="G26" s="6" t="s">
        <v>45</v>
      </c>
      <c r="H26" s="6" t="s">
        <v>70</v>
      </c>
      <c r="I26" s="6">
        <v>6</v>
      </c>
      <c r="J26" s="6">
        <v>4</v>
      </c>
      <c r="K26" s="6">
        <f t="shared" si="0"/>
        <v>24</v>
      </c>
      <c r="L26" s="6">
        <f t="shared" si="1"/>
        <v>24</v>
      </c>
      <c r="M26" s="7" t="s">
        <v>43</v>
      </c>
    </row>
    <row r="27" spans="1:13" s="7" customFormat="1">
      <c r="A27" s="8">
        <v>21</v>
      </c>
      <c r="B27" s="7" t="s">
        <v>81</v>
      </c>
      <c r="D27" s="7" t="s">
        <v>82</v>
      </c>
      <c r="E27" s="7" t="s">
        <v>19</v>
      </c>
      <c r="F27" s="6" t="s">
        <v>51</v>
      </c>
      <c r="G27" s="6" t="s">
        <v>45</v>
      </c>
      <c r="H27" s="6" t="s">
        <v>70</v>
      </c>
      <c r="I27" s="6">
        <v>2</v>
      </c>
      <c r="J27" s="6">
        <v>40</v>
      </c>
      <c r="K27" s="6">
        <f t="shared" si="0"/>
        <v>80</v>
      </c>
      <c r="L27" s="6">
        <f t="shared" si="1"/>
        <v>80</v>
      </c>
      <c r="M27" s="7" t="s">
        <v>43</v>
      </c>
    </row>
    <row r="28" spans="1:13" s="7" customFormat="1">
      <c r="A28" s="8">
        <v>22</v>
      </c>
      <c r="B28" s="7" t="s">
        <v>81</v>
      </c>
      <c r="D28" s="7" t="s">
        <v>82</v>
      </c>
      <c r="E28" s="7" t="s">
        <v>19</v>
      </c>
      <c r="F28" s="6" t="s">
        <v>53</v>
      </c>
      <c r="G28" s="6" t="s">
        <v>45</v>
      </c>
      <c r="H28" s="6" t="s">
        <v>70</v>
      </c>
      <c r="I28" s="6">
        <v>2</v>
      </c>
      <c r="J28" s="6">
        <v>10</v>
      </c>
      <c r="K28" s="6">
        <f t="shared" si="0"/>
        <v>20</v>
      </c>
      <c r="L28" s="6">
        <f t="shared" si="1"/>
        <v>20</v>
      </c>
      <c r="M28" s="7" t="s">
        <v>43</v>
      </c>
    </row>
    <row r="29" spans="1:13" s="7" customFormat="1">
      <c r="A29" s="8">
        <v>23</v>
      </c>
      <c r="B29" s="7" t="s">
        <v>81</v>
      </c>
      <c r="D29" s="7" t="s">
        <v>82</v>
      </c>
      <c r="E29" s="7" t="s">
        <v>19</v>
      </c>
      <c r="F29" s="6" t="s">
        <v>56</v>
      </c>
      <c r="G29" s="6" t="s">
        <v>23</v>
      </c>
      <c r="H29" s="6" t="s">
        <v>70</v>
      </c>
      <c r="I29" s="6">
        <v>2</v>
      </c>
      <c r="J29" s="6">
        <v>10</v>
      </c>
      <c r="K29" s="6">
        <f t="shared" si="0"/>
        <v>20</v>
      </c>
      <c r="L29" s="6">
        <f t="shared" si="1"/>
        <v>20</v>
      </c>
      <c r="M29" s="7" t="s">
        <v>54</v>
      </c>
    </row>
    <row r="30" spans="1:13" s="7" customFormat="1">
      <c r="A30" s="8">
        <v>24</v>
      </c>
      <c r="B30" s="7" t="s">
        <v>81</v>
      </c>
      <c r="D30" s="7" t="s">
        <v>82</v>
      </c>
      <c r="E30" s="7" t="s">
        <v>19</v>
      </c>
      <c r="F30" s="6" t="s">
        <v>59</v>
      </c>
      <c r="G30" s="6" t="s">
        <v>23</v>
      </c>
      <c r="H30" s="6" t="s">
        <v>70</v>
      </c>
      <c r="I30" s="6">
        <v>3</v>
      </c>
      <c r="J30" s="6">
        <v>1.5</v>
      </c>
      <c r="K30" s="6">
        <f t="shared" si="0"/>
        <v>4.5</v>
      </c>
      <c r="L30" s="6">
        <f t="shared" si="1"/>
        <v>4.5</v>
      </c>
      <c r="M30" s="7" t="s">
        <v>58</v>
      </c>
    </row>
    <row r="31" spans="1:13" s="7" customFormat="1">
      <c r="A31" s="8">
        <v>25</v>
      </c>
      <c r="B31" s="7" t="s">
        <v>81</v>
      </c>
      <c r="D31" s="7" t="s">
        <v>82</v>
      </c>
      <c r="E31" s="7" t="s">
        <v>19</v>
      </c>
      <c r="F31" s="6" t="s">
        <v>60</v>
      </c>
      <c r="G31" s="6" t="s">
        <v>23</v>
      </c>
      <c r="H31" s="6" t="s">
        <v>70</v>
      </c>
      <c r="I31" s="6">
        <v>6</v>
      </c>
      <c r="J31" s="6">
        <v>2</v>
      </c>
      <c r="K31" s="6">
        <f t="shared" si="0"/>
        <v>12</v>
      </c>
      <c r="L31" s="6">
        <f t="shared" si="1"/>
        <v>12</v>
      </c>
      <c r="M31" s="7" t="s">
        <v>58</v>
      </c>
    </row>
    <row r="32" spans="1:13" s="7" customFormat="1">
      <c r="A32" s="8">
        <v>26</v>
      </c>
      <c r="B32" s="7" t="s">
        <v>81</v>
      </c>
      <c r="D32" s="7" t="s">
        <v>82</v>
      </c>
      <c r="E32" s="7" t="s">
        <v>19</v>
      </c>
      <c r="F32" s="6" t="s">
        <v>62</v>
      </c>
      <c r="G32" s="6" t="s">
        <v>23</v>
      </c>
      <c r="H32" s="6" t="s">
        <v>70</v>
      </c>
      <c r="I32" s="6">
        <v>1</v>
      </c>
      <c r="J32" s="6">
        <v>15</v>
      </c>
      <c r="K32" s="6">
        <f t="shared" si="0"/>
        <v>15</v>
      </c>
      <c r="L32" s="6">
        <f t="shared" si="1"/>
        <v>15</v>
      </c>
      <c r="M32" s="7" t="s">
        <v>61</v>
      </c>
    </row>
    <row r="33" spans="1:13" s="7" customFormat="1">
      <c r="A33" s="8">
        <v>27</v>
      </c>
      <c r="B33" s="7" t="s">
        <v>81</v>
      </c>
      <c r="D33" s="7" t="s">
        <v>82</v>
      </c>
      <c r="E33" s="7" t="s">
        <v>19</v>
      </c>
      <c r="F33" s="6" t="s">
        <v>63</v>
      </c>
      <c r="G33" s="6" t="s">
        <v>23</v>
      </c>
      <c r="H33" s="6" t="s">
        <v>69</v>
      </c>
      <c r="I33" s="6">
        <v>3</v>
      </c>
      <c r="J33" s="6">
        <v>1.5</v>
      </c>
      <c r="K33" s="6">
        <f t="shared" si="0"/>
        <v>4.5</v>
      </c>
      <c r="L33" s="6">
        <f t="shared" si="1"/>
        <v>54</v>
      </c>
      <c r="M33" s="7" t="s">
        <v>61</v>
      </c>
    </row>
    <row r="34" spans="1:13" s="7" customFormat="1">
      <c r="A34" s="8">
        <v>28</v>
      </c>
      <c r="B34" s="7" t="s">
        <v>81</v>
      </c>
      <c r="D34" s="7" t="s">
        <v>82</v>
      </c>
      <c r="E34" s="7" t="s">
        <v>19</v>
      </c>
      <c r="F34" s="6" t="s">
        <v>64</v>
      </c>
      <c r="G34" s="6" t="s">
        <v>23</v>
      </c>
      <c r="H34" s="6" t="s">
        <v>69</v>
      </c>
      <c r="I34" s="6">
        <v>4</v>
      </c>
      <c r="J34" s="6">
        <v>2</v>
      </c>
      <c r="K34" s="6">
        <f t="shared" si="0"/>
        <v>8</v>
      </c>
      <c r="L34" s="6">
        <f t="shared" si="1"/>
        <v>96</v>
      </c>
      <c r="M34" s="7" t="s">
        <v>61</v>
      </c>
    </row>
    <row r="35" spans="1:13" s="7" customFormat="1">
      <c r="A35" s="8">
        <v>29</v>
      </c>
      <c r="B35" s="7" t="s">
        <v>81</v>
      </c>
      <c r="D35" s="7" t="s">
        <v>82</v>
      </c>
      <c r="E35" s="7" t="s">
        <v>19</v>
      </c>
      <c r="F35" s="6" t="s">
        <v>65</v>
      </c>
      <c r="G35" s="6" t="s">
        <v>66</v>
      </c>
      <c r="H35" s="6" t="s">
        <v>22</v>
      </c>
      <c r="I35" s="6">
        <v>2</v>
      </c>
      <c r="J35" s="6">
        <v>1</v>
      </c>
      <c r="K35" s="6">
        <f t="shared" si="0"/>
        <v>2</v>
      </c>
      <c r="L35" s="6">
        <f t="shared" ref="L35:L37" si="2">IF(H35="monthly",K35*12,(IF(H35="daily",K35*22*12,IF(H35="weekly",K35*4*12,K35))))</f>
        <v>96</v>
      </c>
      <c r="M35" s="7" t="s">
        <v>61</v>
      </c>
    </row>
    <row r="36" spans="1:13" s="7" customFormat="1">
      <c r="A36" s="8">
        <v>30</v>
      </c>
      <c r="B36" s="7" t="s">
        <v>81</v>
      </c>
      <c r="D36" s="7" t="s">
        <v>82</v>
      </c>
      <c r="E36" s="7" t="s">
        <v>19</v>
      </c>
      <c r="F36" s="6" t="s">
        <v>67</v>
      </c>
      <c r="G36" s="6" t="s">
        <v>23</v>
      </c>
      <c r="H36" s="6" t="s">
        <v>69</v>
      </c>
      <c r="I36" s="6">
        <v>4</v>
      </c>
      <c r="J36" s="6">
        <v>1.5</v>
      </c>
      <c r="K36" s="6">
        <f t="shared" si="0"/>
        <v>6</v>
      </c>
      <c r="L36" s="6">
        <f t="shared" si="2"/>
        <v>72</v>
      </c>
      <c r="M36" s="7" t="s">
        <v>61</v>
      </c>
    </row>
    <row r="37" spans="1:13" s="7" customFormat="1">
      <c r="A37" s="8">
        <v>31</v>
      </c>
      <c r="B37" s="7" t="s">
        <v>81</v>
      </c>
      <c r="D37" s="7" t="s">
        <v>82</v>
      </c>
      <c r="E37" s="7" t="s">
        <v>19</v>
      </c>
      <c r="F37" s="6" t="s">
        <v>68</v>
      </c>
      <c r="G37" s="6" t="s">
        <v>23</v>
      </c>
      <c r="H37" s="6" t="s">
        <v>69</v>
      </c>
      <c r="I37" s="6">
        <v>2</v>
      </c>
      <c r="J37" s="6">
        <v>1</v>
      </c>
      <c r="K37" s="6">
        <f t="shared" si="0"/>
        <v>2</v>
      </c>
      <c r="L37" s="6">
        <f t="shared" si="2"/>
        <v>24</v>
      </c>
      <c r="M37" s="7" t="s">
        <v>61</v>
      </c>
    </row>
    <row r="38" spans="1:13" s="7" customFormat="1">
      <c r="A38" s="8"/>
      <c r="I38" s="8"/>
      <c r="J38" s="8"/>
      <c r="K38" s="6">
        <f t="shared" si="0"/>
        <v>0</v>
      </c>
      <c r="L38" s="6"/>
    </row>
    <row r="39" spans="1:13" s="7" customFormat="1">
      <c r="A39" s="8">
        <v>1</v>
      </c>
      <c r="B39" s="7" t="s">
        <v>81</v>
      </c>
      <c r="D39" s="7" t="s">
        <v>106</v>
      </c>
      <c r="E39" s="7" t="s">
        <v>20</v>
      </c>
      <c r="F39" s="6" t="s">
        <v>85</v>
      </c>
      <c r="G39" s="6" t="s">
        <v>17</v>
      </c>
      <c r="H39" s="6" t="s">
        <v>21</v>
      </c>
      <c r="I39" s="6">
        <v>1</v>
      </c>
      <c r="J39" s="6">
        <v>0.1</v>
      </c>
      <c r="K39" s="6">
        <f>I39*J39</f>
        <v>0.1</v>
      </c>
      <c r="L39" s="6">
        <f>IF(H39="monthly",K39*12,(IF(H39="daily",K39*22*12,IF(H39="weekly",K39*4*12,K39))))</f>
        <v>26.400000000000002</v>
      </c>
      <c r="M39" s="7" t="s">
        <v>71</v>
      </c>
    </row>
    <row r="40" spans="1:13" s="7" customFormat="1">
      <c r="A40" s="8">
        <v>2</v>
      </c>
      <c r="B40" s="7" t="s">
        <v>81</v>
      </c>
      <c r="D40" s="7" t="s">
        <v>106</v>
      </c>
      <c r="E40" s="7" t="s">
        <v>20</v>
      </c>
      <c r="F40" s="6" t="s">
        <v>86</v>
      </c>
      <c r="G40" s="6" t="s">
        <v>17</v>
      </c>
      <c r="H40" s="6" t="s">
        <v>21</v>
      </c>
      <c r="I40" s="6">
        <v>1</v>
      </c>
      <c r="J40" s="6">
        <v>0.1</v>
      </c>
      <c r="K40" s="6">
        <f t="shared" ref="K40:K41" si="3">I40*J40</f>
        <v>0.1</v>
      </c>
      <c r="L40" s="6">
        <f t="shared" ref="L40:L46" si="4">IF(H40="monthly",K40*12,(IF(H40="daily",K40*22*12,IF(H40="weekly",K40*4*12,K40))))</f>
        <v>26.400000000000002</v>
      </c>
      <c r="M40" s="7" t="s">
        <v>71</v>
      </c>
    </row>
    <row r="41" spans="1:13" s="7" customFormat="1">
      <c r="A41" s="8">
        <v>3</v>
      </c>
      <c r="B41" s="7" t="s">
        <v>81</v>
      </c>
      <c r="D41" s="7" t="s">
        <v>106</v>
      </c>
      <c r="E41" s="7" t="s">
        <v>20</v>
      </c>
      <c r="F41" s="6" t="s">
        <v>87</v>
      </c>
      <c r="G41" s="6" t="s">
        <v>17</v>
      </c>
      <c r="H41" s="6" t="s">
        <v>21</v>
      </c>
      <c r="I41" s="6">
        <v>1</v>
      </c>
      <c r="J41" s="6">
        <v>0.1</v>
      </c>
      <c r="K41" s="6">
        <f t="shared" si="3"/>
        <v>0.1</v>
      </c>
      <c r="L41" s="6">
        <f t="shared" si="4"/>
        <v>26.400000000000002</v>
      </c>
      <c r="M41" s="7" t="s">
        <v>71</v>
      </c>
    </row>
    <row r="42" spans="1:13" s="7" customFormat="1">
      <c r="A42" s="8">
        <v>4</v>
      </c>
      <c r="B42" s="7" t="s">
        <v>81</v>
      </c>
      <c r="D42" s="7" t="s">
        <v>106</v>
      </c>
      <c r="E42" s="7" t="s">
        <v>20</v>
      </c>
      <c r="F42" s="6" t="s">
        <v>72</v>
      </c>
      <c r="G42" s="6" t="s">
        <v>17</v>
      </c>
      <c r="H42" s="6" t="s">
        <v>21</v>
      </c>
      <c r="I42" s="6">
        <v>1</v>
      </c>
      <c r="J42" s="6">
        <v>0.5</v>
      </c>
      <c r="K42" s="6">
        <f>I42*J42</f>
        <v>0.5</v>
      </c>
      <c r="L42" s="6">
        <f t="shared" si="4"/>
        <v>132</v>
      </c>
      <c r="M42" s="7" t="s">
        <v>71</v>
      </c>
    </row>
    <row r="43" spans="1:13" s="7" customFormat="1">
      <c r="A43" s="8">
        <v>5</v>
      </c>
      <c r="B43" s="7" t="s">
        <v>81</v>
      </c>
      <c r="D43" s="7" t="s">
        <v>106</v>
      </c>
      <c r="E43" s="7" t="s">
        <v>20</v>
      </c>
      <c r="F43" s="6" t="s">
        <v>88</v>
      </c>
      <c r="G43" s="6" t="s">
        <v>23</v>
      </c>
      <c r="H43" s="6" t="s">
        <v>21</v>
      </c>
      <c r="I43" s="6">
        <v>1</v>
      </c>
      <c r="J43" s="6">
        <v>0.15</v>
      </c>
      <c r="K43" s="6">
        <f t="shared" ref="K43:K84" si="5">I43*J43</f>
        <v>0.15</v>
      </c>
      <c r="L43" s="6">
        <f t="shared" si="4"/>
        <v>39.599999999999994</v>
      </c>
      <c r="M43" s="7" t="s">
        <v>71</v>
      </c>
    </row>
    <row r="44" spans="1:13" s="7" customFormat="1">
      <c r="A44" s="8">
        <v>6</v>
      </c>
      <c r="B44" s="7" t="s">
        <v>81</v>
      </c>
      <c r="D44" s="7" t="s">
        <v>106</v>
      </c>
      <c r="E44" s="7" t="s">
        <v>20</v>
      </c>
      <c r="F44" s="6" t="s">
        <v>89</v>
      </c>
      <c r="G44" s="6" t="s">
        <v>17</v>
      </c>
      <c r="H44" s="6" t="s">
        <v>21</v>
      </c>
      <c r="I44" s="6">
        <v>1</v>
      </c>
      <c r="J44" s="6">
        <v>0.5</v>
      </c>
      <c r="K44" s="6">
        <f t="shared" si="5"/>
        <v>0.5</v>
      </c>
      <c r="L44" s="6">
        <f t="shared" si="4"/>
        <v>132</v>
      </c>
      <c r="M44" s="7" t="s">
        <v>71</v>
      </c>
    </row>
    <row r="45" spans="1:13" s="7" customFormat="1">
      <c r="A45" s="8">
        <v>7</v>
      </c>
      <c r="B45" s="7" t="s">
        <v>81</v>
      </c>
      <c r="D45" s="7" t="s">
        <v>106</v>
      </c>
      <c r="E45" s="7" t="s">
        <v>20</v>
      </c>
      <c r="F45" s="6" t="s">
        <v>90</v>
      </c>
      <c r="G45" s="6" t="s">
        <v>17</v>
      </c>
      <c r="H45" s="6" t="s">
        <v>21</v>
      </c>
      <c r="I45" s="6">
        <v>1</v>
      </c>
      <c r="J45" s="6">
        <v>0.5</v>
      </c>
      <c r="K45" s="6">
        <f t="shared" si="5"/>
        <v>0.5</v>
      </c>
      <c r="L45" s="6">
        <f t="shared" si="4"/>
        <v>132</v>
      </c>
      <c r="M45" s="7" t="s">
        <v>71</v>
      </c>
    </row>
    <row r="46" spans="1:13" s="7" customFormat="1">
      <c r="A46" s="8">
        <v>8</v>
      </c>
      <c r="B46" s="7" t="s">
        <v>81</v>
      </c>
      <c r="D46" s="7" t="s">
        <v>106</v>
      </c>
      <c r="E46" s="7" t="s">
        <v>20</v>
      </c>
      <c r="F46" s="6" t="s">
        <v>91</v>
      </c>
      <c r="G46" s="6" t="s">
        <v>17</v>
      </c>
      <c r="H46" s="6" t="s">
        <v>21</v>
      </c>
      <c r="I46" s="6">
        <v>1</v>
      </c>
      <c r="J46" s="6">
        <v>0.1</v>
      </c>
      <c r="K46" s="6">
        <f t="shared" si="5"/>
        <v>0.1</v>
      </c>
      <c r="L46" s="6">
        <f t="shared" si="4"/>
        <v>26.400000000000002</v>
      </c>
      <c r="M46" s="7" t="s">
        <v>71</v>
      </c>
    </row>
    <row r="47" spans="1:13" s="7" customFormat="1">
      <c r="A47" s="8">
        <v>9</v>
      </c>
      <c r="B47" s="7" t="s">
        <v>81</v>
      </c>
      <c r="D47" s="7" t="s">
        <v>106</v>
      </c>
      <c r="E47" s="7" t="s">
        <v>20</v>
      </c>
      <c r="F47" s="6" t="s">
        <v>92</v>
      </c>
      <c r="G47" s="6" t="s">
        <v>17</v>
      </c>
      <c r="H47" s="6" t="s">
        <v>69</v>
      </c>
      <c r="I47" s="6">
        <v>5</v>
      </c>
      <c r="J47" s="6">
        <v>0.1</v>
      </c>
      <c r="K47" s="6">
        <f t="shared" si="5"/>
        <v>0.5</v>
      </c>
      <c r="L47" s="6">
        <f>IF(H47="monthly",K47*12,(IF(H47="daily",K47*22*12,IF(H47="weekly",K47*4*12,K47))))</f>
        <v>6</v>
      </c>
      <c r="M47" s="7" t="s">
        <v>71</v>
      </c>
    </row>
    <row r="48" spans="1:13" s="7" customFormat="1">
      <c r="A48" s="8">
        <v>10</v>
      </c>
      <c r="B48" s="7" t="s">
        <v>81</v>
      </c>
      <c r="D48" s="7" t="s">
        <v>106</v>
      </c>
      <c r="E48" s="7" t="s">
        <v>20</v>
      </c>
      <c r="F48" s="6" t="s">
        <v>75</v>
      </c>
      <c r="G48" s="6" t="s">
        <v>18</v>
      </c>
      <c r="H48" s="6" t="s">
        <v>21</v>
      </c>
      <c r="I48" s="6">
        <v>5</v>
      </c>
      <c r="J48" s="6">
        <v>0.1</v>
      </c>
      <c r="K48" s="6">
        <f t="shared" si="5"/>
        <v>0.5</v>
      </c>
      <c r="L48" s="6">
        <f>IF(H48="monthly",K48*12,(IF(H48="daily",K48*22*12,IF(H48="weekly",K48*4*12,K48))))</f>
        <v>132</v>
      </c>
      <c r="M48" s="7" t="s">
        <v>71</v>
      </c>
    </row>
    <row r="49" spans="1:13" s="7" customFormat="1">
      <c r="A49" s="8">
        <v>11</v>
      </c>
      <c r="B49" s="7" t="s">
        <v>81</v>
      </c>
      <c r="D49" s="7" t="s">
        <v>106</v>
      </c>
      <c r="E49" s="7" t="s">
        <v>20</v>
      </c>
      <c r="F49" s="6" t="s">
        <v>93</v>
      </c>
      <c r="G49" s="6" t="s">
        <v>17</v>
      </c>
      <c r="H49" s="6" t="s">
        <v>70</v>
      </c>
      <c r="I49" s="6">
        <v>10</v>
      </c>
      <c r="J49" s="6">
        <v>0.1</v>
      </c>
      <c r="K49" s="6">
        <f t="shared" si="5"/>
        <v>1</v>
      </c>
      <c r="L49" s="6">
        <f t="shared" ref="L49:L54" si="6">IF(H49="monthly",K49*12,(IF(H49="daily",K49*22*12,IF(H49="weekly",K49*4*12,K49))))</f>
        <v>1</v>
      </c>
      <c r="M49" s="7" t="s">
        <v>71</v>
      </c>
    </row>
    <row r="50" spans="1:13" s="7" customFormat="1">
      <c r="A50" s="8">
        <v>12</v>
      </c>
      <c r="B50" s="7" t="s">
        <v>81</v>
      </c>
      <c r="D50" s="7" t="s">
        <v>106</v>
      </c>
      <c r="E50" s="7" t="s">
        <v>20</v>
      </c>
      <c r="F50" s="6" t="s">
        <v>94</v>
      </c>
      <c r="G50" s="6" t="s">
        <v>17</v>
      </c>
      <c r="H50" s="6" t="s">
        <v>21</v>
      </c>
      <c r="I50" s="6">
        <v>1</v>
      </c>
      <c r="J50" s="6">
        <v>0.1</v>
      </c>
      <c r="K50" s="6">
        <f t="shared" si="5"/>
        <v>0.1</v>
      </c>
      <c r="L50" s="6">
        <f t="shared" si="6"/>
        <v>26.400000000000002</v>
      </c>
      <c r="M50" s="7" t="s">
        <v>83</v>
      </c>
    </row>
    <row r="51" spans="1:13" s="7" customFormat="1">
      <c r="A51" s="8">
        <v>13</v>
      </c>
      <c r="B51" s="7" t="s">
        <v>81</v>
      </c>
      <c r="D51" s="7" t="s">
        <v>106</v>
      </c>
      <c r="E51" s="7" t="s">
        <v>20</v>
      </c>
      <c r="F51" s="6" t="s">
        <v>95</v>
      </c>
      <c r="G51" s="6" t="s">
        <v>17</v>
      </c>
      <c r="H51" s="6" t="s">
        <v>21</v>
      </c>
      <c r="I51" s="6">
        <v>1</v>
      </c>
      <c r="J51" s="6">
        <v>0.35</v>
      </c>
      <c r="K51" s="6">
        <f t="shared" si="5"/>
        <v>0.35</v>
      </c>
      <c r="L51" s="6">
        <f t="shared" si="6"/>
        <v>92.399999999999991</v>
      </c>
      <c r="M51" s="7" t="s">
        <v>83</v>
      </c>
    </row>
    <row r="52" spans="1:13" s="7" customFormat="1">
      <c r="A52" s="8">
        <v>14</v>
      </c>
      <c r="B52" s="7" t="s">
        <v>81</v>
      </c>
      <c r="D52" s="7" t="s">
        <v>106</v>
      </c>
      <c r="E52" s="7" t="s">
        <v>20</v>
      </c>
      <c r="F52" s="6" t="s">
        <v>96</v>
      </c>
      <c r="G52" s="6" t="s">
        <v>17</v>
      </c>
      <c r="H52" s="6" t="s">
        <v>21</v>
      </c>
      <c r="I52" s="6">
        <v>1</v>
      </c>
      <c r="J52" s="6">
        <v>0.25</v>
      </c>
      <c r="K52" s="6">
        <f t="shared" si="5"/>
        <v>0.25</v>
      </c>
      <c r="L52" s="6">
        <f t="shared" si="6"/>
        <v>66</v>
      </c>
      <c r="M52" s="7" t="s">
        <v>83</v>
      </c>
    </row>
    <row r="53" spans="1:13" s="7" customFormat="1">
      <c r="A53" s="8">
        <v>15</v>
      </c>
      <c r="B53" s="7" t="s">
        <v>81</v>
      </c>
      <c r="D53" s="7" t="s">
        <v>106</v>
      </c>
      <c r="E53" s="7" t="s">
        <v>20</v>
      </c>
      <c r="F53" s="6" t="s">
        <v>97</v>
      </c>
      <c r="G53" s="6" t="s">
        <v>17</v>
      </c>
      <c r="H53" s="6" t="s">
        <v>21</v>
      </c>
      <c r="I53" s="6">
        <v>1</v>
      </c>
      <c r="J53" s="6">
        <v>0.25</v>
      </c>
      <c r="K53" s="6">
        <f t="shared" si="5"/>
        <v>0.25</v>
      </c>
      <c r="L53" s="6">
        <f t="shared" si="6"/>
        <v>66</v>
      </c>
      <c r="M53" s="7" t="s">
        <v>83</v>
      </c>
    </row>
    <row r="54" spans="1:13" s="7" customFormat="1">
      <c r="A54" s="8">
        <v>16</v>
      </c>
      <c r="B54" s="7" t="s">
        <v>81</v>
      </c>
      <c r="D54" s="7" t="s">
        <v>106</v>
      </c>
      <c r="E54" s="7" t="s">
        <v>20</v>
      </c>
      <c r="F54" s="6" t="s">
        <v>98</v>
      </c>
      <c r="G54" s="6" t="s">
        <v>17</v>
      </c>
      <c r="H54" s="6" t="s">
        <v>21</v>
      </c>
      <c r="I54" s="6">
        <v>1</v>
      </c>
      <c r="J54" s="6">
        <v>0.35</v>
      </c>
      <c r="K54" s="6">
        <f t="shared" si="5"/>
        <v>0.35</v>
      </c>
      <c r="L54" s="6">
        <f t="shared" si="6"/>
        <v>92.399999999999991</v>
      </c>
      <c r="M54" s="7" t="s">
        <v>83</v>
      </c>
    </row>
    <row r="55" spans="1:13" s="7" customFormat="1">
      <c r="A55" s="8">
        <v>17</v>
      </c>
      <c r="B55" s="7" t="s">
        <v>81</v>
      </c>
      <c r="D55" s="7" t="s">
        <v>106</v>
      </c>
      <c r="E55" s="7" t="s">
        <v>20</v>
      </c>
      <c r="F55" s="6" t="s">
        <v>99</v>
      </c>
      <c r="G55" s="6" t="s">
        <v>17</v>
      </c>
      <c r="H55" s="6" t="s">
        <v>69</v>
      </c>
      <c r="I55" s="6">
        <v>5</v>
      </c>
      <c r="J55" s="6">
        <v>0.15</v>
      </c>
      <c r="K55" s="6">
        <f t="shared" si="5"/>
        <v>0.75</v>
      </c>
      <c r="L55" s="6">
        <f>IF(H55="monthly",K55*12,(IF(H55="daily",K55*22*12,IF(H55="weekly",K55*4*12,K55))))</f>
        <v>9</v>
      </c>
      <c r="M55" s="7" t="s">
        <v>83</v>
      </c>
    </row>
    <row r="56" spans="1:13" s="7" customFormat="1">
      <c r="A56" s="8">
        <v>18</v>
      </c>
      <c r="B56" s="7" t="s">
        <v>81</v>
      </c>
      <c r="D56" s="7" t="s">
        <v>106</v>
      </c>
      <c r="E56" s="7" t="s">
        <v>20</v>
      </c>
      <c r="F56" s="6" t="s">
        <v>100</v>
      </c>
      <c r="G56" s="6" t="s">
        <v>17</v>
      </c>
      <c r="H56" s="6" t="s">
        <v>70</v>
      </c>
      <c r="I56" s="6">
        <v>5</v>
      </c>
      <c r="J56" s="6">
        <v>0.25</v>
      </c>
      <c r="K56" s="6">
        <f t="shared" si="5"/>
        <v>1.25</v>
      </c>
      <c r="L56" s="6">
        <f>IF(H56="monthly",K56*12,(IF(H56="daily",K56*22*12,IF(H56="weekly",K56*4*12,K56))))</f>
        <v>1.25</v>
      </c>
      <c r="M56" s="7" t="s">
        <v>83</v>
      </c>
    </row>
    <row r="57" spans="1:13" s="7" customFormat="1">
      <c r="A57" s="8">
        <v>19</v>
      </c>
      <c r="B57" s="7" t="s">
        <v>81</v>
      </c>
      <c r="D57" s="7" t="s">
        <v>106</v>
      </c>
      <c r="E57" s="7" t="s">
        <v>20</v>
      </c>
      <c r="F57" s="6" t="s">
        <v>101</v>
      </c>
      <c r="G57" s="6" t="s">
        <v>17</v>
      </c>
      <c r="H57" s="6" t="s">
        <v>70</v>
      </c>
      <c r="I57" s="6">
        <v>5</v>
      </c>
      <c r="J57" s="6">
        <v>1</v>
      </c>
      <c r="K57" s="6">
        <f t="shared" si="5"/>
        <v>5</v>
      </c>
      <c r="L57" s="6">
        <f>IF(H57="monthly",K57*12,(IF(H57="daily",K57*22*12,IF(H57="weekly",K57*4*12,K57))))</f>
        <v>5</v>
      </c>
      <c r="M57" s="7" t="s">
        <v>83</v>
      </c>
    </row>
    <row r="58" spans="1:13" s="7" customFormat="1">
      <c r="A58" s="8">
        <v>20</v>
      </c>
      <c r="B58" s="7" t="s">
        <v>81</v>
      </c>
      <c r="D58" s="7" t="s">
        <v>106</v>
      </c>
      <c r="E58" s="7" t="s">
        <v>20</v>
      </c>
      <c r="F58" s="6" t="s">
        <v>102</v>
      </c>
      <c r="G58" s="6" t="s">
        <v>17</v>
      </c>
      <c r="H58" s="6" t="s">
        <v>70</v>
      </c>
      <c r="I58" s="6">
        <v>6</v>
      </c>
      <c r="J58" s="6">
        <v>2</v>
      </c>
      <c r="K58" s="6">
        <f t="shared" si="5"/>
        <v>12</v>
      </c>
      <c r="L58" s="6">
        <f t="shared" ref="L58:L62" si="7">IF(H58="monthly",K58*12,(IF(H58="daily",K58*22*12,IF(H58="weekly",K58*4*12,K58))))</f>
        <v>12</v>
      </c>
      <c r="M58" s="7" t="s">
        <v>83</v>
      </c>
    </row>
    <row r="59" spans="1:13" s="7" customFormat="1">
      <c r="A59" s="8">
        <v>21</v>
      </c>
      <c r="B59" s="7" t="s">
        <v>81</v>
      </c>
      <c r="D59" s="7" t="s">
        <v>106</v>
      </c>
      <c r="E59" s="7" t="s">
        <v>20</v>
      </c>
      <c r="F59" s="6" t="s">
        <v>103</v>
      </c>
      <c r="G59" s="6" t="s">
        <v>17</v>
      </c>
      <c r="H59" s="6" t="s">
        <v>70</v>
      </c>
      <c r="I59" s="6">
        <v>3</v>
      </c>
      <c r="J59" s="6">
        <v>2</v>
      </c>
      <c r="K59" s="6">
        <f t="shared" si="5"/>
        <v>6</v>
      </c>
      <c r="L59" s="6">
        <f t="shared" si="7"/>
        <v>6</v>
      </c>
      <c r="M59" s="7" t="s">
        <v>83</v>
      </c>
    </row>
    <row r="60" spans="1:13" s="7" customFormat="1">
      <c r="A60" s="8">
        <v>22</v>
      </c>
      <c r="B60" s="7" t="s">
        <v>81</v>
      </c>
      <c r="D60" s="7" t="s">
        <v>106</v>
      </c>
      <c r="E60" s="7" t="s">
        <v>20</v>
      </c>
      <c r="F60" s="6" t="s">
        <v>104</v>
      </c>
      <c r="G60" s="6" t="s">
        <v>23</v>
      </c>
      <c r="H60" s="6" t="s">
        <v>21</v>
      </c>
      <c r="I60" s="6">
        <v>1</v>
      </c>
      <c r="J60" s="6">
        <v>0.25</v>
      </c>
      <c r="K60" s="6">
        <f t="shared" si="5"/>
        <v>0.25</v>
      </c>
      <c r="L60" s="6">
        <f t="shared" si="7"/>
        <v>66</v>
      </c>
      <c r="M60" s="7" t="s">
        <v>83</v>
      </c>
    </row>
    <row r="61" spans="1:13" s="7" customFormat="1">
      <c r="A61" s="8">
        <v>23</v>
      </c>
      <c r="B61" s="7" t="s">
        <v>81</v>
      </c>
      <c r="D61" s="7" t="s">
        <v>106</v>
      </c>
      <c r="E61" s="7" t="s">
        <v>20</v>
      </c>
      <c r="F61" s="6" t="s">
        <v>105</v>
      </c>
      <c r="G61" s="6" t="s">
        <v>17</v>
      </c>
      <c r="H61" s="6" t="s">
        <v>69</v>
      </c>
      <c r="I61" s="6">
        <v>10</v>
      </c>
      <c r="J61" s="6">
        <v>0.5</v>
      </c>
      <c r="K61" s="6">
        <f t="shared" si="5"/>
        <v>5</v>
      </c>
      <c r="L61" s="6">
        <f t="shared" si="7"/>
        <v>60</v>
      </c>
      <c r="M61" s="7" t="s">
        <v>83</v>
      </c>
    </row>
    <row r="62" spans="1:13" s="7" customFormat="1">
      <c r="A62" s="8">
        <v>24</v>
      </c>
      <c r="B62" s="7" t="s">
        <v>81</v>
      </c>
      <c r="D62" s="7" t="s">
        <v>106</v>
      </c>
      <c r="E62" s="7" t="s">
        <v>20</v>
      </c>
      <c r="F62" s="6" t="s">
        <v>79</v>
      </c>
      <c r="G62" s="6" t="s">
        <v>18</v>
      </c>
      <c r="H62" s="6" t="s">
        <v>21</v>
      </c>
      <c r="I62" s="6">
        <v>5</v>
      </c>
      <c r="J62" s="6">
        <v>0.1</v>
      </c>
      <c r="K62" s="6">
        <f t="shared" si="5"/>
        <v>0.5</v>
      </c>
      <c r="L62" s="6">
        <f t="shared" si="7"/>
        <v>132</v>
      </c>
      <c r="M62" s="7" t="s">
        <v>26</v>
      </c>
    </row>
    <row r="63" spans="1:13" s="7" customFormat="1">
      <c r="A63" s="8">
        <v>25</v>
      </c>
      <c r="B63" s="7" t="s">
        <v>81</v>
      </c>
      <c r="D63" s="7" t="s">
        <v>106</v>
      </c>
      <c r="E63" s="7" t="s">
        <v>20</v>
      </c>
      <c r="F63" s="6" t="s">
        <v>28</v>
      </c>
      <c r="G63" s="6" t="s">
        <v>17</v>
      </c>
      <c r="H63" s="6" t="s">
        <v>22</v>
      </c>
      <c r="I63" s="6">
        <v>15</v>
      </c>
      <c r="J63" s="6">
        <v>0.15</v>
      </c>
      <c r="K63" s="6">
        <f t="shared" si="5"/>
        <v>2.25</v>
      </c>
      <c r="L63" s="6">
        <f>IF(H63="monthly",K63*12,(IF(H63="daily",K63*22*12,IF(H63="weekly",K63*4*12,K63))))</f>
        <v>108</v>
      </c>
      <c r="M63" s="7" t="s">
        <v>84</v>
      </c>
    </row>
    <row r="64" spans="1:13" s="7" customFormat="1">
      <c r="A64" s="8">
        <v>26</v>
      </c>
      <c r="B64" s="7" t="s">
        <v>81</v>
      </c>
      <c r="D64" s="7" t="s">
        <v>106</v>
      </c>
      <c r="E64" s="7" t="s">
        <v>20</v>
      </c>
      <c r="F64" s="6" t="s">
        <v>29</v>
      </c>
      <c r="G64" s="6" t="s">
        <v>17</v>
      </c>
      <c r="H64" s="6" t="s">
        <v>69</v>
      </c>
      <c r="I64" s="6">
        <v>1</v>
      </c>
      <c r="J64" s="6">
        <v>0.25</v>
      </c>
      <c r="K64" s="6">
        <f t="shared" si="5"/>
        <v>0.25</v>
      </c>
      <c r="L64" s="6">
        <f t="shared" ref="L64:L84" si="8">IF(H64="monthly",K64*12,(IF(H64="daily",K64*22*12,IF(H64="weekly",K64*4*12,K64))))</f>
        <v>3</v>
      </c>
      <c r="M64" s="7" t="s">
        <v>84</v>
      </c>
    </row>
    <row r="65" spans="1:13" s="7" customFormat="1">
      <c r="A65" s="8">
        <v>27</v>
      </c>
      <c r="B65" s="7" t="s">
        <v>81</v>
      </c>
      <c r="D65" s="7" t="s">
        <v>106</v>
      </c>
      <c r="E65" s="7" t="s">
        <v>20</v>
      </c>
      <c r="F65" s="6" t="s">
        <v>30</v>
      </c>
      <c r="G65" s="6" t="s">
        <v>17</v>
      </c>
      <c r="H65" s="6" t="s">
        <v>69</v>
      </c>
      <c r="I65" s="6">
        <v>1</v>
      </c>
      <c r="J65" s="6">
        <v>0.25</v>
      </c>
      <c r="K65" s="6">
        <f t="shared" si="5"/>
        <v>0.25</v>
      </c>
      <c r="L65" s="6">
        <f t="shared" si="8"/>
        <v>3</v>
      </c>
      <c r="M65" s="7" t="s">
        <v>84</v>
      </c>
    </row>
    <row r="66" spans="1:13" s="7" customFormat="1">
      <c r="A66" s="8">
        <v>28</v>
      </c>
      <c r="B66" s="7" t="s">
        <v>81</v>
      </c>
      <c r="D66" s="7" t="s">
        <v>106</v>
      </c>
      <c r="E66" s="7" t="s">
        <v>20</v>
      </c>
      <c r="F66" s="6" t="s">
        <v>31</v>
      </c>
      <c r="G66" s="6" t="s">
        <v>17</v>
      </c>
      <c r="H66" s="6" t="s">
        <v>69</v>
      </c>
      <c r="I66" s="6">
        <v>4</v>
      </c>
      <c r="J66" s="6">
        <v>0.25</v>
      </c>
      <c r="K66" s="6">
        <f t="shared" si="5"/>
        <v>1</v>
      </c>
      <c r="L66" s="6">
        <f t="shared" si="8"/>
        <v>12</v>
      </c>
      <c r="M66" s="7" t="s">
        <v>84</v>
      </c>
    </row>
    <row r="67" spans="1:13" s="7" customFormat="1">
      <c r="A67" s="8">
        <v>29</v>
      </c>
      <c r="B67" s="7" t="s">
        <v>81</v>
      </c>
      <c r="D67" s="7" t="s">
        <v>106</v>
      </c>
      <c r="E67" s="7" t="s">
        <v>20</v>
      </c>
      <c r="F67" s="6" t="s">
        <v>32</v>
      </c>
      <c r="G67" s="6" t="s">
        <v>17</v>
      </c>
      <c r="H67" s="6" t="s">
        <v>69</v>
      </c>
      <c r="I67" s="6">
        <v>1</v>
      </c>
      <c r="J67" s="6">
        <v>0.25</v>
      </c>
      <c r="K67" s="6">
        <f t="shared" si="5"/>
        <v>0.25</v>
      </c>
      <c r="L67" s="6">
        <f t="shared" si="8"/>
        <v>3</v>
      </c>
      <c r="M67" s="7" t="s">
        <v>84</v>
      </c>
    </row>
    <row r="68" spans="1:13" s="7" customFormat="1">
      <c r="A68" s="8">
        <v>30</v>
      </c>
      <c r="B68" s="7" t="s">
        <v>81</v>
      </c>
      <c r="D68" s="7" t="s">
        <v>106</v>
      </c>
      <c r="E68" s="7" t="s">
        <v>20</v>
      </c>
      <c r="F68" s="6" t="s">
        <v>33</v>
      </c>
      <c r="G68" s="6" t="s">
        <v>17</v>
      </c>
      <c r="H68" s="6" t="s">
        <v>69</v>
      </c>
      <c r="I68" s="6">
        <v>2</v>
      </c>
      <c r="J68" s="6">
        <v>0.25</v>
      </c>
      <c r="K68" s="6">
        <f t="shared" si="5"/>
        <v>0.5</v>
      </c>
      <c r="L68" s="6">
        <f t="shared" si="8"/>
        <v>6</v>
      </c>
      <c r="M68" s="7" t="s">
        <v>84</v>
      </c>
    </row>
    <row r="69" spans="1:13" s="7" customFormat="1">
      <c r="A69" s="8">
        <v>31</v>
      </c>
      <c r="B69" s="7" t="s">
        <v>81</v>
      </c>
      <c r="D69" s="7" t="s">
        <v>106</v>
      </c>
      <c r="E69" s="7" t="s">
        <v>20</v>
      </c>
      <c r="F69" s="6" t="s">
        <v>34</v>
      </c>
      <c r="G69" s="6" t="s">
        <v>17</v>
      </c>
      <c r="H69" s="6" t="s">
        <v>69</v>
      </c>
      <c r="I69" s="6">
        <v>9</v>
      </c>
      <c r="J69" s="6">
        <v>0.25</v>
      </c>
      <c r="K69" s="6">
        <f t="shared" si="5"/>
        <v>2.25</v>
      </c>
      <c r="L69" s="6">
        <f t="shared" si="8"/>
        <v>27</v>
      </c>
      <c r="M69" s="7" t="s">
        <v>84</v>
      </c>
    </row>
    <row r="70" spans="1:13" s="7" customFormat="1">
      <c r="A70" s="8">
        <v>32</v>
      </c>
      <c r="B70" s="7" t="s">
        <v>81</v>
      </c>
      <c r="D70" s="7" t="s">
        <v>106</v>
      </c>
      <c r="E70" s="7" t="s">
        <v>20</v>
      </c>
      <c r="F70" s="6" t="s">
        <v>35</v>
      </c>
      <c r="G70" s="6" t="s">
        <v>17</v>
      </c>
      <c r="H70" s="6" t="s">
        <v>70</v>
      </c>
      <c r="I70" s="6">
        <v>6</v>
      </c>
      <c r="J70" s="6">
        <v>0.25</v>
      </c>
      <c r="K70" s="6">
        <f t="shared" si="5"/>
        <v>1.5</v>
      </c>
      <c r="L70" s="6">
        <f t="shared" si="8"/>
        <v>1.5</v>
      </c>
      <c r="M70" s="7" t="s">
        <v>84</v>
      </c>
    </row>
    <row r="71" spans="1:13" s="7" customFormat="1">
      <c r="A71" s="8">
        <v>33</v>
      </c>
      <c r="B71" s="7" t="s">
        <v>81</v>
      </c>
      <c r="D71" s="7" t="s">
        <v>106</v>
      </c>
      <c r="E71" s="7" t="s">
        <v>20</v>
      </c>
      <c r="F71" s="6" t="s">
        <v>36</v>
      </c>
      <c r="G71" s="6" t="s">
        <v>17</v>
      </c>
      <c r="H71" s="6" t="s">
        <v>69</v>
      </c>
      <c r="I71" s="6">
        <v>1</v>
      </c>
      <c r="J71" s="6">
        <v>0.25</v>
      </c>
      <c r="K71" s="6">
        <f t="shared" si="5"/>
        <v>0.25</v>
      </c>
      <c r="L71" s="6">
        <f t="shared" si="8"/>
        <v>3</v>
      </c>
      <c r="M71" s="7" t="s">
        <v>84</v>
      </c>
    </row>
    <row r="72" spans="1:13" s="7" customFormat="1">
      <c r="A72" s="8">
        <v>34</v>
      </c>
      <c r="B72" s="7" t="s">
        <v>81</v>
      </c>
      <c r="D72" s="7" t="s">
        <v>106</v>
      </c>
      <c r="E72" s="7" t="s">
        <v>20</v>
      </c>
      <c r="F72" s="6" t="s">
        <v>37</v>
      </c>
      <c r="G72" s="6" t="s">
        <v>17</v>
      </c>
      <c r="H72" s="6" t="s">
        <v>70</v>
      </c>
      <c r="I72" s="6">
        <v>4</v>
      </c>
      <c r="J72" s="6">
        <v>0.15</v>
      </c>
      <c r="K72" s="6">
        <f t="shared" si="5"/>
        <v>0.6</v>
      </c>
      <c r="L72" s="6">
        <f t="shared" si="8"/>
        <v>0.6</v>
      </c>
      <c r="M72" s="7" t="s">
        <v>84</v>
      </c>
    </row>
    <row r="73" spans="1:13" s="7" customFormat="1">
      <c r="A73" s="8">
        <v>35</v>
      </c>
      <c r="B73" s="7" t="s">
        <v>81</v>
      </c>
      <c r="D73" s="7" t="s">
        <v>106</v>
      </c>
      <c r="E73" s="7" t="s">
        <v>20</v>
      </c>
      <c r="F73" s="6" t="s">
        <v>47</v>
      </c>
      <c r="G73" s="6" t="s">
        <v>45</v>
      </c>
      <c r="H73" s="6" t="s">
        <v>70</v>
      </c>
      <c r="I73" s="6">
        <v>2</v>
      </c>
      <c r="J73" s="6">
        <v>15</v>
      </c>
      <c r="K73" s="6">
        <f t="shared" si="5"/>
        <v>30</v>
      </c>
      <c r="L73" s="6">
        <f t="shared" si="8"/>
        <v>30</v>
      </c>
      <c r="M73" s="7" t="s">
        <v>43</v>
      </c>
    </row>
    <row r="74" spans="1:13" s="7" customFormat="1">
      <c r="A74" s="8">
        <v>36</v>
      </c>
      <c r="B74" s="7" t="s">
        <v>81</v>
      </c>
      <c r="D74" s="7" t="s">
        <v>106</v>
      </c>
      <c r="E74" s="7" t="s">
        <v>20</v>
      </c>
      <c r="F74" s="6" t="s">
        <v>49</v>
      </c>
      <c r="G74" s="6" t="s">
        <v>45</v>
      </c>
      <c r="H74" s="6" t="s">
        <v>21</v>
      </c>
      <c r="I74" s="6">
        <v>1</v>
      </c>
      <c r="J74" s="6">
        <v>1</v>
      </c>
      <c r="K74" s="6">
        <f t="shared" si="5"/>
        <v>1</v>
      </c>
      <c r="L74" s="6">
        <f t="shared" si="8"/>
        <v>264</v>
      </c>
      <c r="M74" s="7" t="s">
        <v>43</v>
      </c>
    </row>
    <row r="75" spans="1:13" s="7" customFormat="1">
      <c r="A75" s="8">
        <v>37</v>
      </c>
      <c r="B75" s="7" t="s">
        <v>81</v>
      </c>
      <c r="D75" s="7" t="s">
        <v>106</v>
      </c>
      <c r="E75" s="7" t="s">
        <v>20</v>
      </c>
      <c r="F75" s="6" t="s">
        <v>50</v>
      </c>
      <c r="G75" s="6" t="s">
        <v>45</v>
      </c>
      <c r="H75" s="6" t="s">
        <v>70</v>
      </c>
      <c r="I75" s="6">
        <v>6</v>
      </c>
      <c r="J75" s="6">
        <v>1</v>
      </c>
      <c r="K75" s="6">
        <f t="shared" si="5"/>
        <v>6</v>
      </c>
      <c r="L75" s="6">
        <f t="shared" si="8"/>
        <v>6</v>
      </c>
      <c r="M75" s="7" t="s">
        <v>43</v>
      </c>
    </row>
    <row r="76" spans="1:13" s="7" customFormat="1">
      <c r="A76" s="8">
        <v>38</v>
      </c>
      <c r="B76" s="7" t="s">
        <v>81</v>
      </c>
      <c r="D76" s="7" t="s">
        <v>106</v>
      </c>
      <c r="E76" s="7" t="s">
        <v>20</v>
      </c>
      <c r="F76" s="6" t="s">
        <v>51</v>
      </c>
      <c r="G76" s="6" t="s">
        <v>45</v>
      </c>
      <c r="H76" s="6" t="s">
        <v>70</v>
      </c>
      <c r="I76" s="6">
        <v>4</v>
      </c>
      <c r="J76" s="6">
        <v>10</v>
      </c>
      <c r="K76" s="6">
        <f t="shared" si="5"/>
        <v>40</v>
      </c>
      <c r="L76" s="6">
        <f t="shared" si="8"/>
        <v>40</v>
      </c>
      <c r="M76" s="7" t="s">
        <v>43</v>
      </c>
    </row>
    <row r="77" spans="1:13" s="7" customFormat="1">
      <c r="A77" s="8">
        <v>39</v>
      </c>
      <c r="B77" s="7" t="s">
        <v>81</v>
      </c>
      <c r="D77" s="7" t="s">
        <v>106</v>
      </c>
      <c r="E77" s="7" t="s">
        <v>20</v>
      </c>
      <c r="F77" s="6" t="s">
        <v>52</v>
      </c>
      <c r="G77" s="6" t="s">
        <v>45</v>
      </c>
      <c r="H77" s="6" t="s">
        <v>70</v>
      </c>
      <c r="I77" s="6">
        <v>3</v>
      </c>
      <c r="J77" s="6">
        <v>4</v>
      </c>
      <c r="K77" s="6">
        <f t="shared" si="5"/>
        <v>12</v>
      </c>
      <c r="L77" s="6">
        <f t="shared" si="8"/>
        <v>12</v>
      </c>
      <c r="M77" s="7" t="s">
        <v>43</v>
      </c>
    </row>
    <row r="78" spans="1:13" s="7" customFormat="1">
      <c r="A78" s="8">
        <v>40</v>
      </c>
      <c r="B78" s="7" t="s">
        <v>81</v>
      </c>
      <c r="D78" s="7" t="s">
        <v>106</v>
      </c>
      <c r="E78" s="7" t="s">
        <v>20</v>
      </c>
      <c r="F78" s="6" t="s">
        <v>55</v>
      </c>
      <c r="G78" s="6" t="s">
        <v>23</v>
      </c>
      <c r="H78" s="6" t="s">
        <v>70</v>
      </c>
      <c r="I78" s="6">
        <v>2</v>
      </c>
      <c r="J78" s="6">
        <v>10</v>
      </c>
      <c r="K78" s="6">
        <f t="shared" si="5"/>
        <v>20</v>
      </c>
      <c r="L78" s="6">
        <f t="shared" si="8"/>
        <v>20</v>
      </c>
      <c r="M78" s="7" t="s">
        <v>54</v>
      </c>
    </row>
    <row r="79" spans="1:13" s="7" customFormat="1">
      <c r="A79" s="8">
        <v>41</v>
      </c>
      <c r="B79" s="7" t="s">
        <v>81</v>
      </c>
      <c r="D79" s="7" t="s">
        <v>106</v>
      </c>
      <c r="E79" s="7" t="s">
        <v>20</v>
      </c>
      <c r="F79" s="6" t="s">
        <v>56</v>
      </c>
      <c r="G79" s="6" t="s">
        <v>23</v>
      </c>
      <c r="H79" s="6" t="s">
        <v>70</v>
      </c>
      <c r="I79" s="6">
        <v>3</v>
      </c>
      <c r="J79" s="6">
        <v>5</v>
      </c>
      <c r="K79" s="6">
        <f t="shared" si="5"/>
        <v>15</v>
      </c>
      <c r="L79" s="6">
        <f t="shared" si="8"/>
        <v>15</v>
      </c>
      <c r="M79" s="7" t="s">
        <v>54</v>
      </c>
    </row>
    <row r="80" spans="1:13" s="7" customFormat="1">
      <c r="A80" s="8">
        <v>42</v>
      </c>
      <c r="B80" s="7" t="s">
        <v>81</v>
      </c>
      <c r="D80" s="7" t="s">
        <v>106</v>
      </c>
      <c r="E80" s="7" t="s">
        <v>20</v>
      </c>
      <c r="F80" s="6" t="s">
        <v>57</v>
      </c>
      <c r="G80" s="6" t="s">
        <v>23</v>
      </c>
      <c r="H80" s="6" t="s">
        <v>21</v>
      </c>
      <c r="I80" s="6">
        <v>1</v>
      </c>
      <c r="J80" s="6">
        <v>0.25</v>
      </c>
      <c r="K80" s="6">
        <f t="shared" si="5"/>
        <v>0.25</v>
      </c>
      <c r="L80" s="6">
        <f t="shared" si="8"/>
        <v>66</v>
      </c>
      <c r="M80" s="7" t="s">
        <v>54</v>
      </c>
    </row>
    <row r="81" spans="1:13" s="7" customFormat="1">
      <c r="A81" s="8">
        <v>43</v>
      </c>
      <c r="B81" s="7" t="s">
        <v>81</v>
      </c>
      <c r="D81" s="7" t="s">
        <v>106</v>
      </c>
      <c r="E81" s="7" t="s">
        <v>20</v>
      </c>
      <c r="F81" s="6" t="s">
        <v>62</v>
      </c>
      <c r="G81" s="6" t="s">
        <v>23</v>
      </c>
      <c r="H81" s="6" t="s">
        <v>70</v>
      </c>
      <c r="I81" s="6">
        <v>1</v>
      </c>
      <c r="J81" s="6">
        <v>20</v>
      </c>
      <c r="K81" s="6">
        <f t="shared" si="5"/>
        <v>20</v>
      </c>
      <c r="L81" s="6">
        <f t="shared" si="8"/>
        <v>20</v>
      </c>
      <c r="M81" s="7" t="s">
        <v>61</v>
      </c>
    </row>
    <row r="82" spans="1:13" s="7" customFormat="1">
      <c r="A82" s="8">
        <v>44</v>
      </c>
      <c r="B82" s="7" t="s">
        <v>81</v>
      </c>
      <c r="D82" s="7" t="s">
        <v>106</v>
      </c>
      <c r="E82" s="7" t="s">
        <v>20</v>
      </c>
      <c r="F82" s="6" t="s">
        <v>63</v>
      </c>
      <c r="G82" s="6" t="s">
        <v>23</v>
      </c>
      <c r="H82" s="6" t="s">
        <v>69</v>
      </c>
      <c r="I82" s="6">
        <v>3</v>
      </c>
      <c r="J82" s="6">
        <v>1.5</v>
      </c>
      <c r="K82" s="6">
        <f t="shared" si="5"/>
        <v>4.5</v>
      </c>
      <c r="L82" s="6">
        <f t="shared" si="8"/>
        <v>54</v>
      </c>
      <c r="M82" s="7" t="s">
        <v>61</v>
      </c>
    </row>
    <row r="83" spans="1:13" s="7" customFormat="1">
      <c r="A83" s="8">
        <v>45</v>
      </c>
      <c r="B83" s="7" t="s">
        <v>81</v>
      </c>
      <c r="D83" s="7" t="s">
        <v>106</v>
      </c>
      <c r="E83" s="7" t="s">
        <v>20</v>
      </c>
      <c r="F83" s="6" t="s">
        <v>64</v>
      </c>
      <c r="G83" s="6" t="s">
        <v>23</v>
      </c>
      <c r="H83" s="6" t="s">
        <v>70</v>
      </c>
      <c r="I83" s="6">
        <v>12</v>
      </c>
      <c r="J83" s="6">
        <v>2</v>
      </c>
      <c r="K83" s="6">
        <f t="shared" si="5"/>
        <v>24</v>
      </c>
      <c r="L83" s="6">
        <f t="shared" si="8"/>
        <v>24</v>
      </c>
      <c r="M83" s="7" t="s">
        <v>61</v>
      </c>
    </row>
    <row r="84" spans="1:13" s="7" customFormat="1">
      <c r="A84" s="8">
        <v>46</v>
      </c>
      <c r="B84" s="7" t="s">
        <v>81</v>
      </c>
      <c r="D84" s="7" t="s">
        <v>106</v>
      </c>
      <c r="E84" s="7" t="s">
        <v>20</v>
      </c>
      <c r="F84" s="6" t="s">
        <v>65</v>
      </c>
      <c r="G84" s="6" t="s">
        <v>66</v>
      </c>
      <c r="H84" s="6" t="s">
        <v>22</v>
      </c>
      <c r="I84" s="6">
        <v>2</v>
      </c>
      <c r="J84" s="6">
        <v>2</v>
      </c>
      <c r="K84" s="6">
        <f t="shared" si="5"/>
        <v>4</v>
      </c>
      <c r="L84" s="6">
        <f t="shared" si="8"/>
        <v>192</v>
      </c>
      <c r="M84" s="7" t="s">
        <v>61</v>
      </c>
    </row>
    <row r="85" spans="1:13" s="7" customFormat="1">
      <c r="A85" s="8"/>
      <c r="I85" s="8"/>
      <c r="J85" s="8"/>
      <c r="K85" s="8"/>
      <c r="L85" s="8"/>
    </row>
    <row r="86" spans="1:13" s="7" customFormat="1">
      <c r="A86" s="8">
        <v>1</v>
      </c>
      <c r="B86" s="7" t="s">
        <v>81</v>
      </c>
      <c r="D86" s="7" t="s">
        <v>112</v>
      </c>
      <c r="E86" s="7" t="s">
        <v>113</v>
      </c>
      <c r="F86" s="6" t="s">
        <v>73</v>
      </c>
      <c r="G86" s="6" t="s">
        <v>17</v>
      </c>
      <c r="H86" s="6" t="s">
        <v>69</v>
      </c>
      <c r="I86" s="6">
        <v>1</v>
      </c>
      <c r="J86" s="6">
        <v>0.25</v>
      </c>
      <c r="K86" s="6">
        <f t="shared" ref="K86:K116" si="9">I86*J86</f>
        <v>0.25</v>
      </c>
      <c r="L86" s="6">
        <f t="shared" ref="L86:L116" si="10">IF(H86="daily",K86*22*12,IF(H86="weekly",K86*4*12,IF(H86="monthly",K86*12,K86)))</f>
        <v>3</v>
      </c>
      <c r="M86" s="7" t="s">
        <v>71</v>
      </c>
    </row>
    <row r="87" spans="1:13" s="7" customFormat="1">
      <c r="A87" s="8">
        <v>2</v>
      </c>
      <c r="B87" s="7" t="s">
        <v>81</v>
      </c>
      <c r="D87" s="7" t="s">
        <v>112</v>
      </c>
      <c r="E87" s="7" t="s">
        <v>113</v>
      </c>
      <c r="F87" s="6" t="s">
        <v>107</v>
      </c>
      <c r="G87" s="6" t="s">
        <v>17</v>
      </c>
      <c r="H87" s="6" t="s">
        <v>21</v>
      </c>
      <c r="I87" s="6">
        <v>1</v>
      </c>
      <c r="J87" s="6">
        <v>0.25</v>
      </c>
      <c r="K87" s="6">
        <f t="shared" si="9"/>
        <v>0.25</v>
      </c>
      <c r="L87" s="6">
        <f t="shared" si="10"/>
        <v>66</v>
      </c>
      <c r="M87" s="7" t="s">
        <v>71</v>
      </c>
    </row>
    <row r="88" spans="1:13" s="7" customFormat="1">
      <c r="A88" s="8">
        <v>3</v>
      </c>
      <c r="B88" s="7" t="s">
        <v>81</v>
      </c>
      <c r="D88" s="7" t="s">
        <v>112</v>
      </c>
      <c r="E88" s="7" t="s">
        <v>113</v>
      </c>
      <c r="F88" s="6" t="s">
        <v>108</v>
      </c>
      <c r="G88" s="6" t="s">
        <v>17</v>
      </c>
      <c r="H88" s="6" t="s">
        <v>22</v>
      </c>
      <c r="I88" s="6">
        <v>1</v>
      </c>
      <c r="J88" s="6">
        <v>0.25</v>
      </c>
      <c r="K88" s="6">
        <f t="shared" si="9"/>
        <v>0.25</v>
      </c>
      <c r="L88" s="6">
        <f t="shared" si="10"/>
        <v>12</v>
      </c>
      <c r="M88" s="7" t="s">
        <v>71</v>
      </c>
    </row>
    <row r="89" spans="1:13" s="7" customFormat="1">
      <c r="A89" s="8">
        <v>4</v>
      </c>
      <c r="B89" s="7" t="s">
        <v>81</v>
      </c>
      <c r="D89" s="7" t="s">
        <v>112</v>
      </c>
      <c r="E89" s="7" t="s">
        <v>113</v>
      </c>
      <c r="F89" s="6" t="s">
        <v>88</v>
      </c>
      <c r="G89" s="6" t="s">
        <v>23</v>
      </c>
      <c r="H89" s="6" t="s">
        <v>21</v>
      </c>
      <c r="I89" s="6">
        <v>1</v>
      </c>
      <c r="J89" s="6">
        <v>0.1</v>
      </c>
      <c r="K89" s="6">
        <f t="shared" si="9"/>
        <v>0.1</v>
      </c>
      <c r="L89" s="6">
        <f t="shared" si="10"/>
        <v>26.400000000000002</v>
      </c>
      <c r="M89" s="7" t="s">
        <v>71</v>
      </c>
    </row>
    <row r="90" spans="1:13" s="7" customFormat="1">
      <c r="A90" s="8">
        <v>5</v>
      </c>
      <c r="B90" s="7" t="s">
        <v>81</v>
      </c>
      <c r="D90" s="7" t="s">
        <v>112</v>
      </c>
      <c r="E90" s="7" t="s">
        <v>113</v>
      </c>
      <c r="F90" s="6" t="s">
        <v>92</v>
      </c>
      <c r="G90" s="6" t="s">
        <v>17</v>
      </c>
      <c r="H90" s="6" t="s">
        <v>69</v>
      </c>
      <c r="I90" s="6">
        <v>4</v>
      </c>
      <c r="J90" s="6">
        <v>0.25</v>
      </c>
      <c r="K90" s="6">
        <f t="shared" si="9"/>
        <v>1</v>
      </c>
      <c r="L90" s="6">
        <f t="shared" si="10"/>
        <v>12</v>
      </c>
      <c r="M90" s="7" t="s">
        <v>71</v>
      </c>
    </row>
    <row r="91" spans="1:13" s="7" customFormat="1">
      <c r="A91" s="8">
        <v>6</v>
      </c>
      <c r="B91" s="7" t="s">
        <v>81</v>
      </c>
      <c r="D91" s="7" t="s">
        <v>112</v>
      </c>
      <c r="E91" s="7" t="s">
        <v>113</v>
      </c>
      <c r="F91" s="6" t="s">
        <v>75</v>
      </c>
      <c r="G91" s="6" t="s">
        <v>18</v>
      </c>
      <c r="H91" s="6" t="s">
        <v>22</v>
      </c>
      <c r="I91" s="6">
        <v>5</v>
      </c>
      <c r="J91" s="6">
        <v>0.1</v>
      </c>
      <c r="K91" s="6">
        <f t="shared" si="9"/>
        <v>0.5</v>
      </c>
      <c r="L91" s="6">
        <f t="shared" si="10"/>
        <v>24</v>
      </c>
      <c r="M91" s="7" t="s">
        <v>71</v>
      </c>
    </row>
    <row r="92" spans="1:13" s="7" customFormat="1">
      <c r="A92" s="8">
        <v>7</v>
      </c>
      <c r="B92" s="7" t="s">
        <v>81</v>
      </c>
      <c r="D92" s="7" t="s">
        <v>112</v>
      </c>
      <c r="E92" s="7" t="s">
        <v>113</v>
      </c>
      <c r="F92" s="6" t="s">
        <v>105</v>
      </c>
      <c r="G92" s="6" t="s">
        <v>17</v>
      </c>
      <c r="H92" s="6" t="s">
        <v>69</v>
      </c>
      <c r="I92" s="6">
        <v>2</v>
      </c>
      <c r="J92" s="6">
        <v>1</v>
      </c>
      <c r="K92" s="6">
        <f t="shared" si="9"/>
        <v>2</v>
      </c>
      <c r="L92" s="6">
        <f t="shared" si="10"/>
        <v>24</v>
      </c>
      <c r="M92" s="7" t="s">
        <v>83</v>
      </c>
    </row>
    <row r="93" spans="1:13" s="7" customFormat="1">
      <c r="A93" s="8">
        <v>8</v>
      </c>
      <c r="B93" s="7" t="s">
        <v>81</v>
      </c>
      <c r="D93" s="7" t="s">
        <v>112</v>
      </c>
      <c r="E93" s="7" t="s">
        <v>113</v>
      </c>
      <c r="F93" s="9" t="s">
        <v>115</v>
      </c>
      <c r="G93" s="6" t="s">
        <v>17</v>
      </c>
      <c r="H93" s="6" t="s">
        <v>21</v>
      </c>
      <c r="I93" s="6">
        <v>1</v>
      </c>
      <c r="J93" s="6">
        <v>0.1</v>
      </c>
      <c r="K93" s="6">
        <f t="shared" si="9"/>
        <v>0.1</v>
      </c>
      <c r="L93" s="6">
        <f t="shared" si="10"/>
        <v>26.400000000000002</v>
      </c>
      <c r="M93" s="7" t="s">
        <v>26</v>
      </c>
    </row>
    <row r="94" spans="1:13" s="7" customFormat="1">
      <c r="A94" s="8">
        <v>9</v>
      </c>
      <c r="B94" s="7" t="s">
        <v>81</v>
      </c>
      <c r="D94" s="7" t="s">
        <v>112</v>
      </c>
      <c r="E94" s="7" t="s">
        <v>113</v>
      </c>
      <c r="F94" s="6" t="s">
        <v>109</v>
      </c>
      <c r="G94" s="6" t="s">
        <v>17</v>
      </c>
      <c r="H94" s="6" t="s">
        <v>69</v>
      </c>
      <c r="I94" s="6">
        <v>2</v>
      </c>
      <c r="J94" s="6">
        <v>5</v>
      </c>
      <c r="K94" s="6">
        <f t="shared" si="9"/>
        <v>10</v>
      </c>
      <c r="L94" s="6">
        <f t="shared" si="10"/>
        <v>120</v>
      </c>
      <c r="M94" s="7" t="s">
        <v>26</v>
      </c>
    </row>
    <row r="95" spans="1:13" s="7" customFormat="1">
      <c r="A95" s="8">
        <v>10</v>
      </c>
      <c r="B95" s="7" t="s">
        <v>81</v>
      </c>
      <c r="D95" s="7" t="s">
        <v>112</v>
      </c>
      <c r="E95" s="7" t="s">
        <v>113</v>
      </c>
      <c r="F95" s="6" t="s">
        <v>77</v>
      </c>
      <c r="G95" s="6" t="s">
        <v>17</v>
      </c>
      <c r="H95" s="6" t="s">
        <v>69</v>
      </c>
      <c r="I95" s="6">
        <v>2</v>
      </c>
      <c r="J95" s="6">
        <v>5</v>
      </c>
      <c r="K95" s="6">
        <f t="shared" si="9"/>
        <v>10</v>
      </c>
      <c r="L95" s="6">
        <f t="shared" si="10"/>
        <v>120</v>
      </c>
      <c r="M95" s="7" t="s">
        <v>26</v>
      </c>
    </row>
    <row r="96" spans="1:13" s="7" customFormat="1">
      <c r="A96" s="8">
        <v>11</v>
      </c>
      <c r="B96" s="7" t="s">
        <v>81</v>
      </c>
      <c r="D96" s="7" t="s">
        <v>112</v>
      </c>
      <c r="E96" s="7" t="s">
        <v>113</v>
      </c>
      <c r="F96" s="6" t="s">
        <v>110</v>
      </c>
      <c r="G96" s="6" t="s">
        <v>17</v>
      </c>
      <c r="H96" s="6" t="s">
        <v>21</v>
      </c>
      <c r="I96" s="6">
        <v>1</v>
      </c>
      <c r="J96" s="6">
        <v>0.1</v>
      </c>
      <c r="K96" s="6">
        <f t="shared" si="9"/>
        <v>0.1</v>
      </c>
      <c r="L96" s="6">
        <f t="shared" si="10"/>
        <v>26.400000000000002</v>
      </c>
      <c r="M96" s="7" t="s">
        <v>26</v>
      </c>
    </row>
    <row r="97" spans="1:13" s="7" customFormat="1">
      <c r="A97" s="8">
        <v>12</v>
      </c>
      <c r="B97" s="7" t="s">
        <v>81</v>
      </c>
      <c r="D97" s="7" t="s">
        <v>112</v>
      </c>
      <c r="E97" s="7" t="s">
        <v>113</v>
      </c>
      <c r="F97" s="6" t="s">
        <v>111</v>
      </c>
      <c r="G97" s="6" t="s">
        <v>17</v>
      </c>
      <c r="H97" s="6" t="s">
        <v>21</v>
      </c>
      <c r="I97" s="6">
        <v>1</v>
      </c>
      <c r="J97" s="6">
        <v>0.1</v>
      </c>
      <c r="K97" s="6">
        <f t="shared" si="9"/>
        <v>0.1</v>
      </c>
      <c r="L97" s="6">
        <f t="shared" si="10"/>
        <v>26.400000000000002</v>
      </c>
      <c r="M97" s="7" t="s">
        <v>26</v>
      </c>
    </row>
    <row r="98" spans="1:13" s="7" customFormat="1">
      <c r="A98" s="8">
        <v>13</v>
      </c>
      <c r="B98" s="7" t="s">
        <v>81</v>
      </c>
      <c r="D98" s="7" t="s">
        <v>112</v>
      </c>
      <c r="E98" s="7" t="s">
        <v>113</v>
      </c>
      <c r="F98" s="6" t="s">
        <v>78</v>
      </c>
      <c r="G98" s="6" t="s">
        <v>17</v>
      </c>
      <c r="H98" s="6" t="s">
        <v>22</v>
      </c>
      <c r="I98" s="6">
        <v>1</v>
      </c>
      <c r="J98" s="6">
        <v>0.25</v>
      </c>
      <c r="K98" s="6">
        <f t="shared" si="9"/>
        <v>0.25</v>
      </c>
      <c r="L98" s="6">
        <f t="shared" si="10"/>
        <v>12</v>
      </c>
      <c r="M98" s="7" t="s">
        <v>26</v>
      </c>
    </row>
    <row r="99" spans="1:13" s="7" customFormat="1">
      <c r="A99" s="8">
        <v>14</v>
      </c>
      <c r="B99" s="7" t="s">
        <v>81</v>
      </c>
      <c r="D99" s="7" t="s">
        <v>112</v>
      </c>
      <c r="E99" s="7" t="s">
        <v>113</v>
      </c>
      <c r="F99" s="6" t="s">
        <v>79</v>
      </c>
      <c r="G99" s="6" t="s">
        <v>18</v>
      </c>
      <c r="H99" s="6" t="s">
        <v>21</v>
      </c>
      <c r="I99" s="6">
        <v>5</v>
      </c>
      <c r="J99" s="6">
        <v>0.1</v>
      </c>
      <c r="K99" s="6">
        <f t="shared" si="9"/>
        <v>0.5</v>
      </c>
      <c r="L99" s="6">
        <f t="shared" si="10"/>
        <v>132</v>
      </c>
      <c r="M99" s="7" t="s">
        <v>26</v>
      </c>
    </row>
    <row r="100" spans="1:13" s="7" customFormat="1">
      <c r="A100" s="8">
        <v>15</v>
      </c>
      <c r="B100" s="7" t="s">
        <v>81</v>
      </c>
      <c r="D100" s="7" t="s">
        <v>112</v>
      </c>
      <c r="E100" s="7" t="s">
        <v>113</v>
      </c>
      <c r="F100" s="6" t="s">
        <v>39</v>
      </c>
      <c r="G100" s="6" t="s">
        <v>17</v>
      </c>
      <c r="H100" s="6" t="s">
        <v>69</v>
      </c>
      <c r="I100" s="6">
        <v>2</v>
      </c>
      <c r="J100" s="6">
        <v>0.5</v>
      </c>
      <c r="K100" s="6">
        <f t="shared" si="9"/>
        <v>1</v>
      </c>
      <c r="L100" s="6">
        <f t="shared" si="10"/>
        <v>12</v>
      </c>
      <c r="M100" s="7" t="s">
        <v>84</v>
      </c>
    </row>
    <row r="101" spans="1:13" s="7" customFormat="1">
      <c r="A101" s="8">
        <v>16</v>
      </c>
      <c r="B101" s="7" t="s">
        <v>81</v>
      </c>
      <c r="D101" s="7" t="s">
        <v>112</v>
      </c>
      <c r="E101" s="7" t="s">
        <v>113</v>
      </c>
      <c r="F101" s="6" t="s">
        <v>40</v>
      </c>
      <c r="G101" s="6" t="s">
        <v>17</v>
      </c>
      <c r="H101" s="6" t="s">
        <v>69</v>
      </c>
      <c r="I101" s="6">
        <v>2</v>
      </c>
      <c r="J101" s="6">
        <v>0.5</v>
      </c>
      <c r="K101" s="6">
        <f t="shared" si="9"/>
        <v>1</v>
      </c>
      <c r="L101" s="6">
        <f t="shared" si="10"/>
        <v>12</v>
      </c>
      <c r="M101" s="7" t="s">
        <v>84</v>
      </c>
    </row>
    <row r="102" spans="1:13" s="7" customFormat="1">
      <c r="A102" s="8">
        <v>17</v>
      </c>
      <c r="B102" s="7" t="s">
        <v>81</v>
      </c>
      <c r="D102" s="7" t="s">
        <v>112</v>
      </c>
      <c r="E102" s="7" t="s">
        <v>113</v>
      </c>
      <c r="F102" s="6" t="s">
        <v>41</v>
      </c>
      <c r="G102" s="6" t="s">
        <v>17</v>
      </c>
      <c r="H102" s="6" t="s">
        <v>69</v>
      </c>
      <c r="I102" s="6">
        <v>2</v>
      </c>
      <c r="J102" s="6">
        <v>2</v>
      </c>
      <c r="K102" s="6">
        <f t="shared" si="9"/>
        <v>4</v>
      </c>
      <c r="L102" s="6">
        <f t="shared" si="10"/>
        <v>48</v>
      </c>
      <c r="M102" s="7" t="s">
        <v>84</v>
      </c>
    </row>
    <row r="103" spans="1:13" s="7" customFormat="1">
      <c r="A103" s="8">
        <v>18</v>
      </c>
      <c r="B103" s="7" t="s">
        <v>81</v>
      </c>
      <c r="D103" s="7" t="s">
        <v>112</v>
      </c>
      <c r="E103" s="7" t="s">
        <v>113</v>
      </c>
      <c r="F103" s="6" t="s">
        <v>44</v>
      </c>
      <c r="G103" s="6" t="s">
        <v>45</v>
      </c>
      <c r="H103" s="6" t="s">
        <v>70</v>
      </c>
      <c r="I103" s="6">
        <v>2</v>
      </c>
      <c r="J103" s="6">
        <v>80</v>
      </c>
      <c r="K103" s="6">
        <f t="shared" si="9"/>
        <v>160</v>
      </c>
      <c r="L103" s="6">
        <f t="shared" si="10"/>
        <v>160</v>
      </c>
      <c r="M103" s="7" t="s">
        <v>43</v>
      </c>
    </row>
    <row r="104" spans="1:13" s="7" customFormat="1">
      <c r="A104" s="8">
        <v>19</v>
      </c>
      <c r="B104" s="7" t="s">
        <v>81</v>
      </c>
      <c r="D104" s="7" t="s">
        <v>112</v>
      </c>
      <c r="E104" s="7" t="s">
        <v>113</v>
      </c>
      <c r="F104" s="6" t="s">
        <v>47</v>
      </c>
      <c r="G104" s="6" t="s">
        <v>45</v>
      </c>
      <c r="H104" s="6" t="s">
        <v>70</v>
      </c>
      <c r="I104" s="6">
        <v>2</v>
      </c>
      <c r="J104" s="6">
        <v>40</v>
      </c>
      <c r="K104" s="6">
        <f t="shared" si="9"/>
        <v>80</v>
      </c>
      <c r="L104" s="6">
        <f t="shared" si="10"/>
        <v>80</v>
      </c>
      <c r="M104" s="7" t="s">
        <v>43</v>
      </c>
    </row>
    <row r="105" spans="1:13" s="7" customFormat="1">
      <c r="A105" s="8">
        <v>20</v>
      </c>
      <c r="B105" s="7" t="s">
        <v>81</v>
      </c>
      <c r="D105" s="7" t="s">
        <v>112</v>
      </c>
      <c r="E105" s="7" t="s">
        <v>113</v>
      </c>
      <c r="F105" s="6" t="s">
        <v>48</v>
      </c>
      <c r="G105" s="6" t="s">
        <v>45</v>
      </c>
      <c r="H105" s="6" t="s">
        <v>70</v>
      </c>
      <c r="I105" s="6">
        <v>2</v>
      </c>
      <c r="J105" s="6">
        <v>40</v>
      </c>
      <c r="K105" s="6">
        <f t="shared" si="9"/>
        <v>80</v>
      </c>
      <c r="L105" s="6">
        <f t="shared" si="10"/>
        <v>80</v>
      </c>
      <c r="M105" s="7" t="s">
        <v>43</v>
      </c>
    </row>
    <row r="106" spans="1:13" s="7" customFormat="1">
      <c r="A106" s="8">
        <v>21</v>
      </c>
      <c r="B106" s="7" t="s">
        <v>81</v>
      </c>
      <c r="D106" s="7" t="s">
        <v>112</v>
      </c>
      <c r="E106" s="7" t="s">
        <v>113</v>
      </c>
      <c r="F106" s="6" t="s">
        <v>49</v>
      </c>
      <c r="G106" s="6" t="s">
        <v>45</v>
      </c>
      <c r="H106" s="6" t="s">
        <v>21</v>
      </c>
      <c r="I106" s="6">
        <v>1</v>
      </c>
      <c r="J106" s="6">
        <v>3</v>
      </c>
      <c r="K106" s="6">
        <f t="shared" si="9"/>
        <v>3</v>
      </c>
      <c r="L106" s="6">
        <f t="shared" si="10"/>
        <v>792</v>
      </c>
      <c r="M106" s="7" t="s">
        <v>43</v>
      </c>
    </row>
    <row r="107" spans="1:13" s="7" customFormat="1">
      <c r="A107" s="8">
        <v>22</v>
      </c>
      <c r="B107" s="7" t="s">
        <v>81</v>
      </c>
      <c r="D107" s="7" t="s">
        <v>112</v>
      </c>
      <c r="E107" s="7" t="s">
        <v>113</v>
      </c>
      <c r="F107" s="6" t="s">
        <v>50</v>
      </c>
      <c r="G107" s="6" t="s">
        <v>45</v>
      </c>
      <c r="H107" s="6" t="s">
        <v>70</v>
      </c>
      <c r="I107" s="6">
        <v>4</v>
      </c>
      <c r="J107" s="6">
        <v>3</v>
      </c>
      <c r="K107" s="6">
        <f t="shared" si="9"/>
        <v>12</v>
      </c>
      <c r="L107" s="6">
        <f t="shared" si="10"/>
        <v>12</v>
      </c>
      <c r="M107" s="7" t="s">
        <v>43</v>
      </c>
    </row>
    <row r="108" spans="1:13" s="7" customFormat="1">
      <c r="A108" s="8">
        <v>23</v>
      </c>
      <c r="B108" s="7" t="s">
        <v>81</v>
      </c>
      <c r="D108" s="7" t="s">
        <v>112</v>
      </c>
      <c r="E108" s="7" t="s">
        <v>113</v>
      </c>
      <c r="F108" s="6" t="s">
        <v>51</v>
      </c>
      <c r="G108" s="6" t="s">
        <v>45</v>
      </c>
      <c r="H108" s="6" t="s">
        <v>70</v>
      </c>
      <c r="I108" s="6">
        <v>2</v>
      </c>
      <c r="J108" s="6">
        <v>40</v>
      </c>
      <c r="K108" s="6">
        <f t="shared" si="9"/>
        <v>80</v>
      </c>
      <c r="L108" s="6">
        <f t="shared" si="10"/>
        <v>80</v>
      </c>
      <c r="M108" s="7" t="s">
        <v>43</v>
      </c>
    </row>
    <row r="109" spans="1:13" s="7" customFormat="1">
      <c r="A109" s="8">
        <v>24</v>
      </c>
      <c r="B109" s="7" t="s">
        <v>81</v>
      </c>
      <c r="D109" s="7" t="s">
        <v>112</v>
      </c>
      <c r="E109" s="7" t="s">
        <v>113</v>
      </c>
      <c r="F109" s="6" t="s">
        <v>52</v>
      </c>
      <c r="G109" s="6" t="s">
        <v>45</v>
      </c>
      <c r="H109" s="6" t="s">
        <v>70</v>
      </c>
      <c r="I109" s="6">
        <v>2</v>
      </c>
      <c r="J109" s="6">
        <v>8</v>
      </c>
      <c r="K109" s="6">
        <f t="shared" si="9"/>
        <v>16</v>
      </c>
      <c r="L109" s="6">
        <f t="shared" si="10"/>
        <v>16</v>
      </c>
      <c r="M109" s="7" t="s">
        <v>43</v>
      </c>
    </row>
    <row r="110" spans="1:13" s="7" customFormat="1">
      <c r="A110" s="8">
        <v>25</v>
      </c>
      <c r="B110" s="7" t="s">
        <v>81</v>
      </c>
      <c r="D110" s="7" t="s">
        <v>112</v>
      </c>
      <c r="E110" s="7" t="s">
        <v>113</v>
      </c>
      <c r="F110" s="6" t="s">
        <v>53</v>
      </c>
      <c r="G110" s="6" t="s">
        <v>45</v>
      </c>
      <c r="H110" s="6" t="s">
        <v>70</v>
      </c>
      <c r="I110" s="6">
        <v>2</v>
      </c>
      <c r="J110" s="6">
        <v>20</v>
      </c>
      <c r="K110" s="6">
        <f t="shared" si="9"/>
        <v>40</v>
      </c>
      <c r="L110" s="6">
        <f t="shared" si="10"/>
        <v>40</v>
      </c>
      <c r="M110" s="7" t="s">
        <v>43</v>
      </c>
    </row>
    <row r="111" spans="1:13" s="7" customFormat="1">
      <c r="A111" s="8">
        <v>26</v>
      </c>
      <c r="B111" s="7" t="s">
        <v>81</v>
      </c>
      <c r="D111" s="7" t="s">
        <v>112</v>
      </c>
      <c r="E111" s="7" t="s">
        <v>113</v>
      </c>
      <c r="F111" s="6" t="s">
        <v>55</v>
      </c>
      <c r="G111" s="6" t="s">
        <v>23</v>
      </c>
      <c r="H111" s="6" t="s">
        <v>70</v>
      </c>
      <c r="I111" s="6">
        <v>2</v>
      </c>
      <c r="J111" s="6">
        <v>40</v>
      </c>
      <c r="K111" s="6">
        <f t="shared" si="9"/>
        <v>80</v>
      </c>
      <c r="L111" s="6">
        <f t="shared" si="10"/>
        <v>80</v>
      </c>
      <c r="M111" s="7" t="s">
        <v>54</v>
      </c>
    </row>
    <row r="112" spans="1:13" s="7" customFormat="1">
      <c r="A112" s="8">
        <v>27</v>
      </c>
      <c r="B112" s="7" t="s">
        <v>81</v>
      </c>
      <c r="D112" s="7" t="s">
        <v>112</v>
      </c>
      <c r="E112" s="7" t="s">
        <v>113</v>
      </c>
      <c r="F112" s="6" t="s">
        <v>57</v>
      </c>
      <c r="G112" s="6" t="s">
        <v>23</v>
      </c>
      <c r="H112" s="6" t="s">
        <v>22</v>
      </c>
      <c r="I112" s="6">
        <v>2</v>
      </c>
      <c r="J112" s="6">
        <v>0.25</v>
      </c>
      <c r="K112" s="6">
        <f t="shared" si="9"/>
        <v>0.5</v>
      </c>
      <c r="L112" s="6">
        <f t="shared" si="10"/>
        <v>24</v>
      </c>
      <c r="M112" s="7" t="s">
        <v>54</v>
      </c>
    </row>
    <row r="113" spans="1:13" s="7" customFormat="1">
      <c r="A113" s="8">
        <v>28</v>
      </c>
      <c r="B113" s="7" t="s">
        <v>81</v>
      </c>
      <c r="D113" s="7" t="s">
        <v>112</v>
      </c>
      <c r="E113" s="7" t="s">
        <v>113</v>
      </c>
      <c r="F113" s="6" t="s">
        <v>60</v>
      </c>
      <c r="G113" s="6" t="s">
        <v>23</v>
      </c>
      <c r="H113" s="6" t="s">
        <v>70</v>
      </c>
      <c r="I113" s="6">
        <v>4</v>
      </c>
      <c r="J113" s="6">
        <v>3</v>
      </c>
      <c r="K113" s="6">
        <f t="shared" si="9"/>
        <v>12</v>
      </c>
      <c r="L113" s="6">
        <f t="shared" si="10"/>
        <v>12</v>
      </c>
      <c r="M113" s="7" t="s">
        <v>58</v>
      </c>
    </row>
    <row r="114" spans="1:13" s="7" customFormat="1">
      <c r="A114" s="8">
        <v>29</v>
      </c>
      <c r="B114" s="7" t="s">
        <v>81</v>
      </c>
      <c r="D114" s="7" t="s">
        <v>112</v>
      </c>
      <c r="E114" s="7" t="s">
        <v>113</v>
      </c>
      <c r="F114" s="6" t="s">
        <v>63</v>
      </c>
      <c r="G114" s="6" t="s">
        <v>23</v>
      </c>
      <c r="H114" s="6" t="s">
        <v>69</v>
      </c>
      <c r="I114" s="6">
        <v>2</v>
      </c>
      <c r="J114" s="6">
        <v>1.5</v>
      </c>
      <c r="K114" s="6">
        <f t="shared" si="9"/>
        <v>3</v>
      </c>
      <c r="L114" s="6">
        <f t="shared" si="10"/>
        <v>36</v>
      </c>
      <c r="M114" s="7" t="s">
        <v>61</v>
      </c>
    </row>
    <row r="115" spans="1:13" s="7" customFormat="1">
      <c r="A115" s="8">
        <v>30</v>
      </c>
      <c r="B115" s="7" t="s">
        <v>81</v>
      </c>
      <c r="D115" s="7" t="s">
        <v>112</v>
      </c>
      <c r="E115" s="7" t="s">
        <v>113</v>
      </c>
      <c r="F115" s="6" t="s">
        <v>64</v>
      </c>
      <c r="G115" s="6" t="s">
        <v>23</v>
      </c>
      <c r="H115" s="6" t="s">
        <v>69</v>
      </c>
      <c r="I115" s="6">
        <v>1</v>
      </c>
      <c r="J115" s="6">
        <v>2</v>
      </c>
      <c r="K115" s="6">
        <f t="shared" si="9"/>
        <v>2</v>
      </c>
      <c r="L115" s="6">
        <f t="shared" si="10"/>
        <v>24</v>
      </c>
      <c r="M115" s="7" t="s">
        <v>61</v>
      </c>
    </row>
    <row r="116" spans="1:13" s="7" customFormat="1">
      <c r="A116" s="8">
        <v>31</v>
      </c>
      <c r="B116" s="7" t="s">
        <v>81</v>
      </c>
      <c r="D116" s="7" t="s">
        <v>112</v>
      </c>
      <c r="E116" s="7" t="s">
        <v>113</v>
      </c>
      <c r="F116" s="6" t="s">
        <v>65</v>
      </c>
      <c r="G116" s="6" t="s">
        <v>66</v>
      </c>
      <c r="H116" s="10" t="s">
        <v>69</v>
      </c>
      <c r="I116" s="6">
        <v>1</v>
      </c>
      <c r="J116" s="6">
        <v>10</v>
      </c>
      <c r="K116" s="6">
        <f t="shared" si="9"/>
        <v>10</v>
      </c>
      <c r="L116" s="6">
        <f t="shared" si="10"/>
        <v>120</v>
      </c>
      <c r="M116" s="7" t="s">
        <v>61</v>
      </c>
    </row>
  </sheetData>
  <pageMargins left="0.2" right="0.2" top="0.75" bottom="0.75" header="0.3" footer="0.3"/>
  <pageSetup paperSize="5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D1:H15"/>
  <sheetViews>
    <sheetView workbookViewId="0">
      <selection activeCell="B30" sqref="B30"/>
    </sheetView>
  </sheetViews>
  <sheetFormatPr defaultRowHeight="14.4"/>
  <cols>
    <col min="4" max="4" width="46.21875" bestFit="1" customWidth="1"/>
    <col min="5" max="5" width="23.5546875" bestFit="1" customWidth="1"/>
    <col min="7" max="7" width="12.6640625" bestFit="1" customWidth="1"/>
    <col min="8" max="8" width="29.88671875" customWidth="1"/>
  </cols>
  <sheetData>
    <row r="1" spans="4:8" ht="43.2">
      <c r="D1" s="11" t="s">
        <v>116</v>
      </c>
      <c r="E1" s="11" t="s">
        <v>9</v>
      </c>
      <c r="F1" s="12" t="s">
        <v>117</v>
      </c>
      <c r="G1" s="12" t="s">
        <v>118</v>
      </c>
      <c r="H1" s="12" t="s">
        <v>119</v>
      </c>
    </row>
    <row r="2" spans="4:8">
      <c r="D2" s="13" t="s">
        <v>82</v>
      </c>
      <c r="E2" s="14" t="s">
        <v>19</v>
      </c>
      <c r="F2" s="14">
        <v>2037</v>
      </c>
      <c r="G2" s="14">
        <v>1449</v>
      </c>
      <c r="H2" s="14">
        <f>F2-G2</f>
        <v>588</v>
      </c>
    </row>
    <row r="3" spans="4:8">
      <c r="D3" s="13" t="s">
        <v>106</v>
      </c>
      <c r="E3" s="14" t="s">
        <v>20</v>
      </c>
      <c r="F3" s="14">
        <v>2225</v>
      </c>
      <c r="G3" s="14">
        <v>1449</v>
      </c>
      <c r="H3" s="14">
        <f t="shared" ref="H3" si="0">F3-G3</f>
        <v>776</v>
      </c>
    </row>
    <row r="4" spans="4:8">
      <c r="D4" s="13" t="s">
        <v>112</v>
      </c>
      <c r="E4" s="14" t="s">
        <v>113</v>
      </c>
      <c r="F4" s="14">
        <v>2258</v>
      </c>
      <c r="G4" s="14">
        <v>1449</v>
      </c>
      <c r="H4" s="14">
        <f>F4-G4</f>
        <v>809</v>
      </c>
    </row>
    <row r="5" spans="4:8">
      <c r="D5" s="15" t="s">
        <v>120</v>
      </c>
      <c r="E5" s="15"/>
      <c r="F5" s="16">
        <f>SUM(F2:F4)</f>
        <v>6520</v>
      </c>
      <c r="G5" s="14">
        <f>SUM(G2:G4)</f>
        <v>4347</v>
      </c>
      <c r="H5" s="16">
        <f>SUM(H2:H4)</f>
        <v>2173</v>
      </c>
    </row>
    <row r="6" spans="4:8" ht="18">
      <c r="D6" s="17" t="s">
        <v>121</v>
      </c>
      <c r="E6" s="17"/>
      <c r="F6" s="18"/>
      <c r="G6" s="18"/>
      <c r="H6" s="18">
        <f>ROUND((H5/F15), 0)</f>
        <v>1</v>
      </c>
    </row>
    <row r="7" spans="4:8">
      <c r="D7" s="6"/>
      <c r="E7" s="6"/>
      <c r="F7" s="19"/>
      <c r="G7" s="19"/>
      <c r="H7" s="19"/>
    </row>
    <row r="8" spans="4:8">
      <c r="D8" s="6"/>
      <c r="E8" s="6"/>
      <c r="F8" s="19"/>
      <c r="G8" s="19"/>
      <c r="H8" s="19"/>
    </row>
    <row r="9" spans="4:8">
      <c r="D9" s="6"/>
      <c r="E9" s="20" t="s">
        <v>122</v>
      </c>
      <c r="F9" s="20"/>
      <c r="G9" s="21"/>
      <c r="H9" s="19"/>
    </row>
    <row r="10" spans="4:8">
      <c r="D10" s="6"/>
      <c r="E10" s="20" t="s">
        <v>123</v>
      </c>
      <c r="F10" s="21">
        <v>240</v>
      </c>
      <c r="G10" s="21" t="s">
        <v>124</v>
      </c>
      <c r="H10" s="19"/>
    </row>
    <row r="11" spans="4:8">
      <c r="D11" s="6"/>
      <c r="E11" s="20" t="s">
        <v>125</v>
      </c>
      <c r="F11" s="21">
        <v>15</v>
      </c>
      <c r="G11" s="22" t="s">
        <v>126</v>
      </c>
      <c r="H11" s="19"/>
    </row>
    <row r="12" spans="4:8">
      <c r="D12" s="6"/>
      <c r="E12" s="20" t="s">
        <v>127</v>
      </c>
      <c r="F12" s="21">
        <v>12</v>
      </c>
      <c r="G12" s="22" t="s">
        <v>126</v>
      </c>
      <c r="H12" s="19"/>
    </row>
    <row r="13" spans="4:8">
      <c r="D13" s="6"/>
      <c r="E13" s="20" t="s">
        <v>128</v>
      </c>
      <c r="F13" s="21">
        <v>6</v>
      </c>
      <c r="G13" s="22" t="s">
        <v>126</v>
      </c>
      <c r="H13" s="19"/>
    </row>
    <row r="14" spans="4:8">
      <c r="D14" s="6"/>
      <c r="E14" s="20" t="s">
        <v>129</v>
      </c>
      <c r="F14" s="21">
        <f>F10-F11-F12-F13</f>
        <v>207</v>
      </c>
      <c r="G14" s="22" t="s">
        <v>126</v>
      </c>
      <c r="H14" s="19"/>
    </row>
    <row r="15" spans="4:8">
      <c r="D15" s="6"/>
      <c r="E15" s="23" t="s">
        <v>130</v>
      </c>
      <c r="F15" s="24">
        <f>F14*7</f>
        <v>1449</v>
      </c>
      <c r="G15" s="25" t="s">
        <v>131</v>
      </c>
      <c r="H15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MIS02</dc:creator>
  <cp:lastModifiedBy>MIS02</cp:lastModifiedBy>
  <cp:lastPrinted>2019-03-19T08:44:17Z</cp:lastPrinted>
  <dcterms:created xsi:type="dcterms:W3CDTF">2019-03-19T04:34:20Z</dcterms:created>
  <dcterms:modified xsi:type="dcterms:W3CDTF">2019-03-21T08:58:41Z</dcterms:modified>
</cp:coreProperties>
</file>